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Assumptions" sheetId="2" state="visible" r:id="rId4"/>
    <sheet name="Startup Cost Estimation" sheetId="3" state="visible" r:id="rId5"/>
    <sheet name="Revenue Projection" sheetId="4" state="visible" r:id="rId6"/>
    <sheet name="Profit &amp; Loss Statement" sheetId="5" state="visible" r:id="rId7"/>
    <sheet name="Cash Flow Statement" sheetId="6" state="visible" r:id="rId8"/>
    <sheet name="Break-even Analysis" sheetId="7" state="visible" r:id="rId9"/>
    <sheet name="KPI Dashboard" sheetId="8" state="visible" r:id="rId10"/>
    <sheet name="Scenario Analysis" sheetId="9" state="visible" r:id="rId11"/>
    <sheet name="Investment Summar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<sst xmlns="http://schemas.openxmlformats.org/spreadsheetml/2006/main" count="346" uniqueCount="247">
  <si>
    <t xml:space="preserve">CYBERSHIELD360</t>
  </si>
  <si>
    <t xml:space="preserve">Protecting Businesses. Empowering Growth.</t>
  </si>
  <si>
    <t xml:space="preserve">THREE-YEAR FINANCIAL MODEL</t>
  </si>
  <si>
    <t xml:space="preserve">AI-Powered Cybersecurity Management Platform for Startups, SMEs &amp; Growing Organizations</t>
  </si>
  <si>
    <t xml:space="preserve">DOCUMENT INFORMATION</t>
  </si>
  <si>
    <t xml:space="preserve">Industry</t>
  </si>
  <si>
    <t xml:space="preserve">Cybersecurity / Enterprise SaaS</t>
  </si>
  <si>
    <t xml:space="preserve">Business Model</t>
  </si>
  <si>
    <t xml:space="preserve">Subscription-based Cybersecurity Management Platform (SaaS)</t>
  </si>
  <si>
    <t xml:space="preserve">Prepared For</t>
  </si>
  <si>
    <t xml:space="preserve">MBA / MBM Portfolio, Startup Documentation &amp; Investor Presentation</t>
  </si>
  <si>
    <t xml:space="preserve">Prepared By</t>
  </si>
  <si>
    <t xml:space="preserve">CyberShield360 Founding Team (Financial Model by AI Financial Analyst)</t>
  </si>
  <si>
    <t xml:space="preserve">Version</t>
  </si>
  <si>
    <t xml:space="preserve">1.0</t>
  </si>
  <si>
    <t xml:space="preserve">Date</t>
  </si>
  <si>
    <t xml:space="preserve">05 July 2026</t>
  </si>
  <si>
    <t xml:space="preserve">Currency</t>
  </si>
  <si>
    <t xml:space="preserve">Indian Rupees (₹) unless otherwise stated</t>
  </si>
  <si>
    <t xml:space="preserve">IMPORTANT NOTE: All financial projections, cost estimates, and scenario figures in this workbook are ILLUSTRATIVE, prepared for MBA/MBM portfolio, startup-competition, and business-portfolio documentation purposes. Subscriber growth (400 / 1,600 / 4,200 across Years 1-3) and pricing are sourced directly from CyberShield360's Business Plan and Investor Presentation (2026). Cost, unit-economics, and financing figures not explicitly stated in source materials are clearly flagged as illustrative planning assumptions and are editable on the Assumptions sheet. Figures are not audited and should not be relied upon for actual investment decisions without independent verification.</t>
  </si>
  <si>
    <t xml:space="preserve">WORKBOOK CONTENTS</t>
  </si>
  <si>
    <t xml:space="preserve">1. Cover Page</t>
  </si>
  <si>
    <t xml:space="preserve">2. Assumptions</t>
  </si>
  <si>
    <t xml:space="preserve">3. Startup Cost Estimation</t>
  </si>
  <si>
    <t xml:space="preserve">4. Revenue Projection</t>
  </si>
  <si>
    <t xml:space="preserve">5. Profit &amp; Loss Statement</t>
  </si>
  <si>
    <t xml:space="preserve">6. Cash Flow Statement</t>
  </si>
  <si>
    <t xml:space="preserve">7. Break-even Analysis</t>
  </si>
  <si>
    <t xml:space="preserve">8. KPI Dashboard</t>
  </si>
  <si>
    <t xml:space="preserve">9. Scenario Analysis</t>
  </si>
  <si>
    <t xml:space="preserve">10. Investment Summary</t>
  </si>
  <si>
    <t xml:space="preserve">CYBERSHIELD360 — MODEL ASSUMPTIONS</t>
  </si>
  <si>
    <t xml:space="preserve">Blue cells are editable inputs. All figures in Indian Rupees (₹) unless stated. Sources noted in column F.</t>
  </si>
  <si>
    <t xml:space="preserve">A.  SUBSCRIPTION PRICING (Source: Business Plan Ch.27 / Investor Deck p.11)</t>
  </si>
  <si>
    <t xml:space="preserve">Plan</t>
  </si>
  <si>
    <t xml:space="preserve">Price (₹/month)</t>
  </si>
  <si>
    <t xml:space="preserve">Notes</t>
  </si>
  <si>
    <t xml:space="preserve">Starter Shield</t>
  </si>
  <si>
    <t xml:space="preserve">Entry tier; billed monthly</t>
  </si>
  <si>
    <t xml:space="preserve">Business Shield (Most Popular)</t>
  </si>
  <si>
    <t xml:space="preserve">Primary revenue driver; mix shifts toward this tier over time</t>
  </si>
  <si>
    <t xml:space="preserve">Enterprise Shield</t>
  </si>
  <si>
    <t xml:space="preserve">Custom pricing</t>
  </si>
  <si>
    <t xml:space="preserve">Modelled as upside only; excluded from baseline revenue per source docs</t>
  </si>
  <si>
    <t xml:space="preserve">B.  SUBSCRIBER GROWTH — YEAR-END COUNTS (Source: Investor Deck p.14 / Business Plan Ch.35)</t>
  </si>
  <si>
    <t xml:space="preserve">Segment</t>
  </si>
  <si>
    <t xml:space="preserve">Year 1</t>
  </si>
  <si>
    <t xml:space="preserve">Year 2</t>
  </si>
  <si>
    <t xml:space="preserve">Year 3</t>
  </si>
  <si>
    <t xml:space="preserve">Starter Shield subscribers</t>
  </si>
  <si>
    <t xml:space="preserve">Business Shield subscribers</t>
  </si>
  <si>
    <t xml:space="preserve">Total subscribers (year-end)</t>
  </si>
  <si>
    <t xml:space="preserve">Matches 400 / 1,600 / 4,200 stated in source materials</t>
  </si>
  <si>
    <t xml:space="preserve">C.  REVENUE MIX / ADD-ON ASSUMPTIONS (Source: Business Plan Ch.26)</t>
  </si>
  <si>
    <t xml:space="preserve">Item</t>
  </si>
  <si>
    <t xml:space="preserve">Consulting &amp; training add-on (% of subscription revenue)</t>
  </si>
  <si>
    <t xml:space="preserve">Cross-sold to existing base; grows as base matures</t>
  </si>
  <si>
    <t xml:space="preserve">D.  OPERATING COST ASSUMPTIONS — ANNUAL (Source: Business Plan Ch.35)</t>
  </si>
  <si>
    <t xml:space="preserve">Cost Category</t>
  </si>
  <si>
    <t xml:space="preserve">Team costs (salaries, founder comp.)</t>
  </si>
  <si>
    <t xml:space="preserve">Cloud infrastructure &amp; hosting (COGS)</t>
  </si>
  <si>
    <t xml:space="preserve">Marketing &amp; channel enablement</t>
  </si>
  <si>
    <t xml:space="preserve">General &amp; administrative / legal / compliance</t>
  </si>
  <si>
    <t xml:space="preserve">Total estimated operating cost</t>
  </si>
  <si>
    <t xml:space="preserve">E.  UNIT ECONOMICS ASSUMPTIONS</t>
  </si>
  <si>
    <t xml:space="preserve">Metric</t>
  </si>
  <si>
    <t xml:space="preserve">Value</t>
  </si>
  <si>
    <t xml:space="preserve">Blended ARPU, early period (₹/month)</t>
  </si>
  <si>
    <t xml:space="preserve">Source: Business Plan Ch.36 (Break-even Analysis)</t>
  </si>
  <si>
    <t xml:space="preserve">Variable cost per subscriber (₹/month)</t>
  </si>
  <si>
    <t xml:space="preserve">Hosting, payment processing, support — Source: Business Plan Ch.36</t>
  </si>
  <si>
    <t xml:space="preserve">Contribution margin per subscriber (₹/month)</t>
  </si>
  <si>
    <t xml:space="preserve">Estimated monthly churn rate</t>
  </si>
  <si>
    <t xml:space="preserve">Illustrative planning assumption — not stated in source docs; editable</t>
  </si>
  <si>
    <t xml:space="preserve">Assumed gross margin (for LTV calc)</t>
  </si>
  <si>
    <t xml:space="preserve">Illustrative SaaS-typical gross margin assumption; editable</t>
  </si>
  <si>
    <t xml:space="preserve">Customer Lifetime Value (LTV)</t>
  </si>
  <si>
    <t xml:space="preserve">LTV = ARPU x Gross Margin / Monthly Churn Rate</t>
  </si>
  <si>
    <t xml:space="preserve">F.  FINANCIAL &amp; MACRO ASSUMPTIONS (Illustrative — editable)</t>
  </si>
  <si>
    <t xml:space="preserve">Corporate tax rate</t>
  </si>
  <si>
    <t xml:space="preserve">Illustrative effective rate for an early-stage Indian startup</t>
  </si>
  <si>
    <t xml:space="preserve">Discount rate (VC hurdle rate)</t>
  </si>
  <si>
    <t xml:space="preserve">Illustrative early-stage venture discount rate</t>
  </si>
  <si>
    <t xml:space="preserve">Annual inflation rate</t>
  </si>
  <si>
    <t xml:space="preserve">Illustrative — informational only; not applied to fixed cost inputs above</t>
  </si>
  <si>
    <t xml:space="preserve">Depreciation period for startup capex (years)</t>
  </si>
  <si>
    <t xml:space="preserve">Straight-line, applied to Product Dev + Cloud Setup + Branding capex</t>
  </si>
  <si>
    <t xml:space="preserve">Assumed Year 4+ annual revenue growth rate</t>
  </si>
  <si>
    <t xml:space="preserve">Illustrative — used only for Investment Summary indicative ROI extrapolation</t>
  </si>
  <si>
    <t xml:space="preserve">G.  SCENARIO MULTIPLIERS (applied to subscriber growth — see Scenario Analysis)</t>
  </si>
  <si>
    <t xml:space="preserve">Scenario</t>
  </si>
  <si>
    <t xml:space="preserve">Multiplier vs. Expected Case</t>
  </si>
  <si>
    <t xml:space="preserve">Best Case</t>
  </si>
  <si>
    <t xml:space="preserve">Expected Case</t>
  </si>
  <si>
    <t xml:space="preserve">Worst Case</t>
  </si>
  <si>
    <t xml:space="preserve">STARTUP COST ESTIMATION</t>
  </si>
  <si>
    <t xml:space="preserve">One-time capital required to bring CyberShield360 from concept to launch-ready MVP. Source: Business Plan Ch.34.</t>
  </si>
  <si>
    <t xml:space="preserve">Estimated Cost (₹)</t>
  </si>
  <si>
    <t xml:space="preserve">Product development (platform, mobile app, initial AI models)</t>
  </si>
  <si>
    <t xml:space="preserve">Cloud infrastructure setup</t>
  </si>
  <si>
    <t xml:space="preserve">Branding, website &amp; marketing collateral</t>
  </si>
  <si>
    <t xml:space="preserve">Legal, compliance &amp; incorporation</t>
  </si>
  <si>
    <t xml:space="preserve">Founding team runway (approx. 6 months)</t>
  </si>
  <si>
    <t xml:space="preserve">Initial marketing launch budget</t>
  </si>
  <si>
    <t xml:space="preserve">Subtotal</t>
  </si>
  <si>
    <t xml:space="preserve">Contingency (~10%)</t>
  </si>
  <si>
    <t xml:space="preserve">Applied to subtotal above</t>
  </si>
  <si>
    <t xml:space="preserve">Contingency amount</t>
  </si>
  <si>
    <t xml:space="preserve">TOTAL ESTIMATED STARTUP COST</t>
  </si>
  <si>
    <t xml:space="preserve">Product development is the single largest line item, reflecting that core value is embedded in software and the AI scoring engine rather than physical assets. Contingency reflects ordinary first-time platform-development and launch-timeline uncertainty.</t>
  </si>
  <si>
    <t xml:space="preserve">REVENUE PROJECTION — 36-MONTH BUILD</t>
  </si>
  <si>
    <t xml:space="preserve">Monthly subscriber counts interpolate linearly between the year-end anchors on the Assumptions sheet (400 / 1,600 / 4,200 subscribers). Enterprise licensing is modelled as upside and excluded from baseline, consistent with source materials.</t>
  </si>
  <si>
    <t xml:space="preserve">Month</t>
  </si>
  <si>
    <t xml:space="preserve">Year</t>
  </si>
  <si>
    <t xml:space="preserve">Starter
Subs</t>
  </si>
  <si>
    <t xml:space="preserve">Business
Subs</t>
  </si>
  <si>
    <t xml:space="preserve">Total
Subs</t>
  </si>
  <si>
    <t xml:space="preserve">Starter
Revenue (₹)</t>
  </si>
  <si>
    <t xml:space="preserve">Business
Revenue (₹)</t>
  </si>
  <si>
    <t xml:space="preserve">Subscription
Revenue (₹)</t>
  </si>
  <si>
    <t xml:space="preserve">Consulting &amp;
Training Add-on (₹)</t>
  </si>
  <si>
    <t xml:space="preserve">Total
Revenue (₹)</t>
  </si>
  <si>
    <t xml:space="preserve">Y1</t>
  </si>
  <si>
    <t xml:space="preserve">Y2</t>
  </si>
  <si>
    <t xml:space="preserve">Y3</t>
  </si>
  <si>
    <t xml:space="preserve">ANNUAL SUMMARY</t>
  </si>
  <si>
    <t xml:space="preserve">Subscription revenue (actual, ₹)</t>
  </si>
  <si>
    <t xml:space="preserve">Consulting &amp; training add-on revenue (actual, ₹)</t>
  </si>
  <si>
    <t xml:space="preserve">Total revenue (actual, ₹)</t>
  </si>
  <si>
    <t xml:space="preserve">Subscription ARR run-rate at year-end (₹)</t>
  </si>
  <si>
    <t xml:space="preserve">Cross-check: should equal ~₹35.95L / ₹1.82Cr / ₹5.54Cr per source Business Plan Ch.35</t>
  </si>
  <si>
    <t xml:space="preserve">Total subscribers at year-end</t>
  </si>
  <si>
    <t xml:space="preserve">Revenue growth index (Year 1 = 1.0x)</t>
  </si>
  <si>
    <t xml:space="preserve">Starter Revenue</t>
  </si>
  <si>
    <t xml:space="preserve">Business Revenue</t>
  </si>
  <si>
    <t xml:space="preserve">PROFIT &amp; LOSS STATEMENT (ILLUSTRATIVE)</t>
  </si>
  <si>
    <t xml:space="preserve">All figures annual, in Indian Rupees (₹). Linked to Revenue Projection and Assumptions sheets.</t>
  </si>
  <si>
    <t xml:space="preserve">Line Item</t>
  </si>
  <si>
    <t xml:space="preserve">Total Revenue</t>
  </si>
  <si>
    <t xml:space="preserve">Cost of Goods Sold (Cloud infra &amp; hosting)</t>
  </si>
  <si>
    <t xml:space="preserve">Gross Profit</t>
  </si>
  <si>
    <t xml:space="preserve">Gross Margin %</t>
  </si>
  <si>
    <t xml:space="preserve">Operating Expenses:</t>
  </si>
  <si>
    <t xml:space="preserve">Team costs (salaries)</t>
  </si>
  <si>
    <t xml:space="preserve">General &amp; administrative</t>
  </si>
  <si>
    <t xml:space="preserve">Total Operating Expenses</t>
  </si>
  <si>
    <t xml:space="preserve">EBITDA</t>
  </si>
  <si>
    <t xml:space="preserve">EBITDA Margin %</t>
  </si>
  <si>
    <t xml:space="preserve">Depreciation &amp; Amortization</t>
  </si>
  <si>
    <t xml:space="preserve">Straight-line over depreciation period on Product Dev + Cloud Setup + Branding capex</t>
  </si>
  <si>
    <t xml:space="preserve">EBIT (Operating Profit)</t>
  </si>
  <si>
    <t xml:space="preserve">Tax</t>
  </si>
  <si>
    <t xml:space="preserve">Net Profit / (Loss)</t>
  </si>
  <si>
    <t xml:space="preserve">Net Profit Margin %</t>
  </si>
  <si>
    <t xml:space="preserve">Revenue</t>
  </si>
  <si>
    <t xml:space="preserve">Net Profit</t>
  </si>
  <si>
    <t xml:space="preserve">CASH FLOW STATEMENT (ILLUSTRATIVE)</t>
  </si>
  <si>
    <t xml:space="preserve">Simplified indirect-method cash flow. Assumes founding/seed capital equal to total startup cost is raised in Year 1.</t>
  </si>
  <si>
    <t xml:space="preserve">Operating Activities</t>
  </si>
  <si>
    <t xml:space="preserve">Add back: Depreciation &amp; Amortization</t>
  </si>
  <si>
    <t xml:space="preserve">Net Cash from Operating Activities</t>
  </si>
  <si>
    <t xml:space="preserve">Investing Activities</t>
  </si>
  <si>
    <t xml:space="preserve">Capital expenditure (startup build-out)</t>
  </si>
  <si>
    <t xml:space="preserve">Net Cash from Investing Activities</t>
  </si>
  <si>
    <t xml:space="preserve">Financing Activities</t>
  </si>
  <si>
    <t xml:space="preserve">Founding / seed capital raised</t>
  </si>
  <si>
    <t xml:space="preserve">Net Cash from Financing Activities</t>
  </si>
  <si>
    <t xml:space="preserve">Net Change in Cash</t>
  </si>
  <si>
    <t xml:space="preserve">Opening Cash Balance</t>
  </si>
  <si>
    <t xml:space="preserve">Closing Cash Balance</t>
  </si>
  <si>
    <t xml:space="preserve">Note: A simplified model with no working-capital or debt-financing assumptions. Illustrative only.</t>
  </si>
  <si>
    <t xml:space="preserve">BREAK-EVEN ANALYSIS</t>
  </si>
  <si>
    <t xml:space="preserve">Contribution-margin basis break-even, per Business Plan Ch.36. Assumes early-period ARPU and variable cost per subscriber.</t>
  </si>
  <si>
    <t xml:space="preserve">Variable</t>
  </si>
  <si>
    <t xml:space="preserve">Blended ARPU (₹/month)</t>
  </si>
  <si>
    <t xml:space="preserve">Estimated fixed monthly operating cost (Year 1 basis)</t>
  </si>
  <si>
    <t xml:space="preserve">Break-even Subscribers</t>
  </si>
  <si>
    <t xml:space="preserve">Break-even Monthly Revenue (₹)</t>
  </si>
  <si>
    <t xml:space="preserve">Estimated Break-even Month (subscriber count crosses threshold)</t>
  </si>
  <si>
    <t xml:space="preserve">Array-style MATCH against monthly subscriber build on Revenue Projection sheet</t>
  </si>
  <si>
    <t xml:space="preserve">Dividing the estimated fixed monthly cost base by the contribution margin per subscriber gives an illustrative break-even point of approximately 1,050-1,100 subscribing organisations, expected to be crossed roughly two-thirds of the way through Year 2 (Business Plan Ch.36).</t>
  </si>
  <si>
    <t xml:space="preserve">Total Subscribers</t>
  </si>
  <si>
    <t xml:space="preserve">Monthly Revenue (₹)</t>
  </si>
  <si>
    <t xml:space="preserve">Fixed Monthly Cost (₹)</t>
  </si>
  <si>
    <t xml:space="preserve">CYBERSHIELD360 — KPI DASHBOARD</t>
  </si>
  <si>
    <t xml:space="preserve">Live-linked key performance indicators, updating automatically from Revenue Projection, P&amp;L, and Assumptions.</t>
  </si>
  <si>
    <t xml:space="preserve">KPI</t>
  </si>
  <si>
    <t xml:space="preserve">MRR at year-end (₹/month)</t>
  </si>
  <si>
    <t xml:space="preserve">Total ARR — Subscription + Add-on run-rate (₹)</t>
  </si>
  <si>
    <t xml:space="preserve">Customer Count (year-end)</t>
  </si>
  <si>
    <t xml:space="preserve">ARPU — Avg. Revenue Per User (₹/month)</t>
  </si>
  <si>
    <t xml:space="preserve">Net Margin %</t>
  </si>
  <si>
    <t xml:space="preserve">CAC — Customer Acquisition Cost (₹, illustrative)</t>
  </si>
  <si>
    <t xml:space="preserve">LTV — Customer Lifetime Value (₹)</t>
  </si>
  <si>
    <t xml:space="preserve">LTV : CAC Ratio</t>
  </si>
  <si>
    <t xml:space="preserve">Annual ARR Growth %</t>
  </si>
  <si>
    <t xml:space="preserve">Avg. Monthly Revenue Growth % (in-year)</t>
  </si>
  <si>
    <t xml:space="preserve">REVENUE MIX — YEAR 3 (₹)</t>
  </si>
  <si>
    <t xml:space="preserve">Revenue Stream</t>
  </si>
  <si>
    <t xml:space="preserve">Amount (₹)</t>
  </si>
  <si>
    <t xml:space="preserve">Starter Shield subscriptions</t>
  </si>
  <si>
    <t xml:space="preserve">Business Shield subscriptions</t>
  </si>
  <si>
    <t xml:space="preserve">Consulting &amp; training add-ons</t>
  </si>
  <si>
    <t xml:space="preserve">SUBSCRIBER GROWTH BY YEAR</t>
  </si>
  <si>
    <t xml:space="preserve">Starter</t>
  </si>
  <si>
    <t xml:space="preserve">Business</t>
  </si>
  <si>
    <t xml:space="preserve">Total</t>
  </si>
  <si>
    <t xml:space="preserve">Gauge Helper — LTV:CAC (Year 3, capped at 5x for display)</t>
  </si>
  <si>
    <t xml:space="preserve">Achieved</t>
  </si>
  <si>
    <t xml:space="preserve">Remaining (of 5x scale)</t>
  </si>
  <si>
    <t xml:space="preserve">SCENARIO ANALYSIS</t>
  </si>
  <si>
    <t xml:space="preserve">Best / Expected / Worst cases apply the scenario multipliers (Assumptions §G) to Year-3 subscriber counts, holding pricing and cost ratios constant. Illustrative only.</t>
  </si>
  <si>
    <t xml:space="preserve">Year 3 Total Subscribers</t>
  </si>
  <si>
    <t xml:space="preserve">Blended ARPU (₹/month, actual)</t>
  </si>
  <si>
    <t xml:space="preserve">Year 3 Annualised Revenue (₹)</t>
  </si>
  <si>
    <t xml:space="preserve">Gross Margin % (assumption)</t>
  </si>
  <si>
    <t xml:space="preserve">Year 3 Operating Expenses (₹, held constant)</t>
  </si>
  <si>
    <t xml:space="preserve">Illustrative Year 3 Operating Profit (₹)</t>
  </si>
  <si>
    <t xml:space="preserve">Implied Operating Margin %</t>
  </si>
  <si>
    <t xml:space="preserve">Best/Worst cases flex subscriber acquisition only; pricing, ARPU, gross margin and the cost base are held constant for simplicity. In practice a materially higher- or lower-growth scenario would likely also shift the cost base and sales/marketing spend; this simplification is a portfolio-level illustration, not a full operating plan re-forecast.</t>
  </si>
  <si>
    <t xml:space="preserve">Operating Profit</t>
  </si>
  <si>
    <t xml:space="preserve">INVESTMENT SUMMARY</t>
  </si>
  <si>
    <t xml:space="preserve">Illustrative funding and return summary for MBA/MBM portfolio and investor-documentation purposes. No specific funding ask or valuation is stated in source materials; figures here are derived transparently from the Startup Cost and P&amp;L sheets.</t>
  </si>
  <si>
    <t xml:space="preserve">FUNDING REQUIRED</t>
  </si>
  <si>
    <t xml:space="preserve">Total Startup Capital Required (₹)</t>
  </si>
  <si>
    <t xml:space="preserve">Equals Total Estimated Startup Cost incl. contingency (Startup Cost Estimation sheet)</t>
  </si>
  <si>
    <t xml:space="preserve">USE OF FUNDS</t>
  </si>
  <si>
    <t xml:space="preserve">Category</t>
  </si>
  <si>
    <t xml:space="preserve">% of Total</t>
  </si>
  <si>
    <t xml:space="preserve">ROI PROJECTION (ILLUSTRATIVE)</t>
  </si>
  <si>
    <t xml:space="preserve">Year 3 EBITDA (₹)</t>
  </si>
  <si>
    <t xml:space="preserve">Year 3 EBITDA as multiple of funding</t>
  </si>
  <si>
    <t xml:space="preserve">Simple 3-Yr Net Profit NPV, discounted (₹)</t>
  </si>
  <si>
    <t xml:space="preserve">Discounted at illustrative 18% VC hurdle rate (Assumptions §F)</t>
  </si>
  <si>
    <t xml:space="preserve">Indicative Year 4 Revenue (₹, at assumed growth)</t>
  </si>
  <si>
    <t xml:space="preserve">Illustrative extrapolation only — not a forecast commitment</t>
  </si>
  <si>
    <t xml:space="preserve">KEY METRICS SNAPSHOT</t>
  </si>
  <si>
    <t xml:space="preserve">Subscribers (year-end)</t>
  </si>
  <si>
    <t xml:space="preserve">ARR — run-rate (₹)</t>
  </si>
  <si>
    <t xml:space="preserve">Revenue growth index (Yr1=1.0x -&gt; Yr3)</t>
  </si>
  <si>
    <t xml:space="preserve">Per Business Plan Ch.35: ~1x -&gt; 5.1x -&gt; 15.4x illustrative growth curve</t>
  </si>
  <si>
    <t xml:space="preserve">INVESTOR EXIT POSSIBILITIES (ILLUSTRATIVE)</t>
  </si>
  <si>
    <t xml:space="preserve">• Strategic acquisition by a larger cybersecurity, MSSP, or enterprise-SaaS platform seeking SME market entry.</t>
  </si>
  <si>
    <t xml:space="preserve">• Private equity buyout once the company reaches consistent operating profitability and scale (post Year 3).</t>
  </si>
  <si>
    <t xml:space="preserve">• Secondary sale of founder/early-investor equity in a later growth-stage financing round.</t>
  </si>
  <si>
    <t xml:space="preserve">• Continued independent growth toward the vision of becoming India's most trusted SME cybersecurity platform, with optional international expansion (Business Plan Ch.5, Ch.38).</t>
  </si>
  <si>
    <t xml:space="preserve">No specific funding round, valuation, or investor terms are stated in CyberShield360's source documents; the above are illustrative, category-level exit pathways typical of an early-stage SaaS business, not commitments or forecasts.</t>
  </si>
</sst>
</file>

<file path=xl/styles.xml><?xml version="1.0" encoding="utf-8"?>
<styleSheet xmlns="http://schemas.openxmlformats.org/spreadsheetml/2006/main">
  <numFmts count="6">
    <numFmt numFmtId="164" formatCode="General"/>
    <numFmt numFmtId="165" formatCode="#,##0;\(#,##0\);\-"/>
    <numFmt numFmtId="166" formatCode="0.0%;\(0.0%\);\-"/>
    <numFmt numFmtId="167" formatCode="0"/>
    <numFmt numFmtId="168" formatCode="0.0\x"/>
    <numFmt numFmtId="169" formatCode="#,##0"/>
  </numFmts>
  <fonts count="26">
    <font>
      <sz val="11"/>
      <color theme="1"/>
      <name val="Calibri"/>
      <family val="2"/>
      <charset val="1"/>
    </font>
    <font>
      <sz val="10"/>
      <name val="Arial"/>
      <family val="0"/>
    </font>
    <font>
      <sz val="10"/>
      <name val="Arial"/>
      <family val="0"/>
    </font>
    <font>
      <sz val="10"/>
      <name val="Arial"/>
      <family val="0"/>
    </font>
    <font>
      <b val="true"/>
      <sz val="30"/>
      <color rgb="FF0A1F44"/>
      <name val="Calibri"/>
      <family val="0"/>
      <charset val="1"/>
    </font>
    <font>
      <i val="true"/>
      <sz val="13"/>
      <color rgb="FF1E6FFF"/>
      <name val="Calibri"/>
      <family val="0"/>
      <charset val="1"/>
    </font>
    <font>
      <b val="true"/>
      <sz val="22"/>
      <color rgb="FFFFFFFF"/>
      <name val="Calibri"/>
      <family val="0"/>
      <charset val="1"/>
    </font>
    <font>
      <i val="true"/>
      <sz val="11"/>
      <color rgb="FF6B7280"/>
      <name val="Calibri"/>
      <family val="0"/>
      <charset val="1"/>
    </font>
    <font>
      <b val="true"/>
      <sz val="12"/>
      <color rgb="FFFFFFFF"/>
      <name val="Calibri"/>
      <family val="0"/>
      <charset val="1"/>
    </font>
    <font>
      <b val="true"/>
      <sz val="10"/>
      <color rgb="FF000000"/>
      <name val="Calibri"/>
      <family val="0"/>
      <charset val="1"/>
    </font>
    <font>
      <sz val="10"/>
      <color rgb="FF000000"/>
      <name val="Calibri"/>
      <family val="0"/>
      <charset val="1"/>
    </font>
    <font>
      <i val="true"/>
      <sz val="9"/>
      <color rgb="FF6B7280"/>
      <name val="Calibri"/>
      <family val="0"/>
      <charset val="1"/>
    </font>
    <font>
      <b val="true"/>
      <sz val="16"/>
      <color rgb="FFFFFFFF"/>
      <name val="Calibri"/>
      <family val="0"/>
      <charset val="1"/>
    </font>
    <font>
      <b val="true"/>
      <sz val="10"/>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b val="true"/>
      <sz val="11"/>
      <color rgb="FFFFFFFF"/>
      <name val="Calibri"/>
      <family val="0"/>
      <charset val="1"/>
    </font>
    <font>
      <b val="true"/>
      <sz val="18"/>
      <color rgb="FF000000"/>
      <name val="Calibri"/>
      <family val="2"/>
    </font>
    <font>
      <sz val="10"/>
      <color rgb="FF000000"/>
      <name val="Calibri"/>
      <family val="2"/>
    </font>
    <font>
      <b val="true"/>
      <sz val="15"/>
      <color rgb="FFFFFFFF"/>
      <name val="Calibri"/>
      <family val="0"/>
      <charset val="1"/>
    </font>
    <font>
      <sz val="9"/>
      <color rgb="FF000000"/>
      <name val="Calibri"/>
      <family val="0"/>
      <charset val="1"/>
    </font>
    <font>
      <sz val="11"/>
      <color rgb="FF1E7A34"/>
      <name val="Calibri"/>
      <family val="0"/>
      <charset val="1"/>
    </font>
    <font>
      <b val="true"/>
      <sz val="10"/>
      <color rgb="FF000000"/>
      <name val="Calibri"/>
      <family val="2"/>
    </font>
    <font>
      <b val="true"/>
      <sz val="11"/>
      <color rgb="FF1E7A34"/>
      <name val="Calibri"/>
      <family val="0"/>
      <charset val="1"/>
    </font>
    <font>
      <sz val="8"/>
      <color rgb="FF000000"/>
      <name val="Calibri"/>
      <family val="0"/>
      <charset val="1"/>
    </font>
  </fonts>
  <fills count="6">
    <fill>
      <patternFill patternType="none"/>
    </fill>
    <fill>
      <patternFill patternType="gray125"/>
    </fill>
    <fill>
      <patternFill patternType="solid">
        <fgColor rgb="FF0A1F44"/>
        <bgColor rgb="FF003300"/>
      </patternFill>
    </fill>
    <fill>
      <patternFill patternType="solid">
        <fgColor rgb="FF1E6FFF"/>
        <bgColor rgb="FF0066CC"/>
      </patternFill>
    </fill>
    <fill>
      <patternFill patternType="solid">
        <fgColor rgb="FFF2F4F8"/>
        <bgColor rgb="FFFFFFFF"/>
      </patternFill>
    </fill>
    <fill>
      <patternFill patternType="solid">
        <fgColor rgb="FFFFFDE7"/>
        <bgColor rgb="FFFFFFFF"/>
      </patternFill>
    </fill>
  </fills>
  <borders count="3">
    <border diagonalUp="false" diagonalDown="false">
      <left/>
      <right/>
      <top/>
      <bottom/>
      <diagonal/>
    </border>
    <border diagonalUp="false" diagonalDown="false">
      <left style="thin">
        <color rgb="FFD9DEE8"/>
      </left>
      <right style="thin">
        <color rgb="FFD9DEE8"/>
      </right>
      <top style="thin">
        <color rgb="FFD9DEE8"/>
      </top>
      <bottom style="thin">
        <color rgb="FFD9DEE8"/>
      </bottom>
      <diagonal/>
    </border>
    <border diagonalUp="false" diagonalDown="false">
      <left style="thin">
        <color rgb="FFD9DEE8"/>
      </left>
      <right/>
      <top style="thin">
        <color rgb="FFD9DEE8"/>
      </top>
      <bottom style="thin">
        <color rgb="FFD9D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5" fontId="14"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false" applyProtection="false">
      <alignment horizontal="general" vertical="bottom" textRotation="0" wrapText="false" indent="0" shrinkToFit="false"/>
      <protection locked="true" hidden="false"/>
    </xf>
    <xf numFmtId="167" fontId="14" fillId="5" borderId="1" xfId="0" applyFont="true" applyBorder="true" applyAlignment="false" applyProtection="false">
      <alignment horizontal="general" vertical="bottom" textRotation="0" wrapText="false" indent="0" shrinkToFit="false"/>
      <protection locked="true" hidden="false"/>
    </xf>
    <xf numFmtId="168" fontId="14" fillId="5"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20" fillId="2"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9" fontId="22" fillId="0" borderId="1" xfId="0" applyFont="true" applyBorder="true" applyAlignment="false" applyProtection="false">
      <alignment horizontal="general" vertical="bottom" textRotation="0" wrapText="fals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65" fontId="22" fillId="0" borderId="1" xfId="0" applyFont="true" applyBorder="true" applyAlignment="fals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center" vertical="center" textRotation="0" wrapText="true" indent="0" shrinkToFit="false"/>
      <protection locked="true" hidden="false"/>
    </xf>
    <xf numFmtId="169" fontId="22" fillId="4" borderId="1" xfId="0" applyFont="true" applyBorder="true" applyAlignment="false" applyProtection="false">
      <alignment horizontal="general" vertical="bottom" textRotation="0" wrapText="false" indent="0" shrinkToFit="false"/>
      <protection locked="true" hidden="false"/>
    </xf>
    <xf numFmtId="169" fontId="16" fillId="4" borderId="1" xfId="0" applyFont="true" applyBorder="true" applyAlignment="false" applyProtection="false">
      <alignment horizontal="general" vertical="bottom" textRotation="0" wrapText="false" indent="0" shrinkToFit="false"/>
      <protection locked="true" hidden="false"/>
    </xf>
    <xf numFmtId="165" fontId="22"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65" fontId="24" fillId="0"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6" fontId="16" fillId="4" borderId="1"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1"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5" fontId="17" fillId="2" borderId="1"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9" fontId="15" fillId="4"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6" fontId="22" fillId="0" borderId="1" xfId="0" applyFont="true" applyBorder="true" applyAlignment="false" applyProtection="false">
      <alignment horizontal="general" vertical="bottom" textRotation="0" wrapText="false" indent="0" shrinkToFit="false"/>
      <protection locked="true" hidden="false"/>
    </xf>
    <xf numFmtId="168" fontId="22"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A34"/>
      <rgbColor rgb="FF000080"/>
      <rgbColor rgb="FF808000"/>
      <rgbColor rgb="FF800080"/>
      <rgbColor rgb="FF4F81BD"/>
      <rgbColor rgb="FFD9D9D9"/>
      <rgbColor rgb="FF878787"/>
      <rgbColor rgb="FF8064A2"/>
      <rgbColor rgb="FFBE4B48"/>
      <rgbColor rgb="FFFFFDE7"/>
      <rgbColor rgb="FFF2F4F8"/>
      <rgbColor rgb="FF660066"/>
      <rgbColor rgb="FFFF8080"/>
      <rgbColor rgb="FF0066CC"/>
      <rgbColor rgb="FFD9DE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E6FFF"/>
      <rgbColor rgb="FF4BACC6"/>
      <rgbColor rgb="FF98B855"/>
      <rgbColor rgb="FFFFCC00"/>
      <rgbColor rgb="FFF79646"/>
      <rgbColor rgb="FFFF6600"/>
      <rgbColor rgb="FF6B7280"/>
      <rgbColor rgb="FF9BBB59"/>
      <rgbColor rgb="FF0A1F44"/>
      <rgbColor rgb="FF4A7EBB"/>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Startup Cost Allocation by Category</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'Startup Cost Estimation'!$B$5:$B$10</c:f>
              <c:strCache>
                <c:ptCount val="6"/>
                <c:pt idx="0">
                  <c:v>Product development (platform, mobile app, initial AI models)</c:v>
                </c:pt>
                <c:pt idx="1">
                  <c:v>Cloud infrastructure setup</c:v>
                </c:pt>
                <c:pt idx="2">
                  <c:v>Branding, website &amp; marketing collateral</c:v>
                </c:pt>
                <c:pt idx="3">
                  <c:v>Legal, compliance &amp; incorporation</c:v>
                </c:pt>
                <c:pt idx="4">
                  <c:v>Founding team runway (approx. 6 months)</c:v>
                </c:pt>
                <c:pt idx="5">
                  <c:v>Initial marketing launch budget</c:v>
                </c:pt>
              </c:strCache>
            </c:strRef>
          </c:cat>
          <c:val>
            <c:numRef>
              <c:f>'Startup Cost Estimation'!$C$5:$C$10</c:f>
              <c:numCache>
                <c:formatCode>#,##0;\(#,##0\);\-</c:formatCode>
                <c:ptCount val="6"/>
                <c:pt idx="0">
                  <c:v>2500000</c:v>
                </c:pt>
                <c:pt idx="1">
                  <c:v>400000</c:v>
                </c:pt>
                <c:pt idx="2">
                  <c:v>300000</c:v>
                </c:pt>
                <c:pt idx="3">
                  <c:v>200000</c:v>
                </c:pt>
                <c:pt idx="4">
                  <c:v>1500000</c:v>
                </c:pt>
                <c:pt idx="5">
                  <c:v>500000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Monthly Revenue (₹) — 36 Month Trend</a:t>
            </a:r>
          </a:p>
        </c:rich>
      </c:tx>
      <c:overlay val="0"/>
      <c:spPr>
        <a:noFill/>
        <a:ln w="0">
          <a:noFill/>
        </a:ln>
      </c:spPr>
    </c:title>
    <c:autoTitleDeleted val="0"/>
    <c:plotArea>
      <c:lineChart>
        <c:grouping val="standard"/>
        <c:varyColors val="0"/>
        <c:ser>
          <c:idx val="0"/>
          <c:order val="0"/>
          <c:tx>
            <c:strRef>
              <c:f>'Revenue Projection'!K4</c:f>
              <c:strCache>
                <c:ptCount val="1"/>
                <c:pt idx="0">
                  <c:v>Total
Revenue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Projection'!$B$5:$B$40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'Revenue Projection'!$K$5:$K$40</c:f>
              <c:numCache>
                <c:formatCode>#,##0;\(#,##0\);\-</c:formatCode>
                <c:ptCount val="36"/>
                <c:pt idx="0">
                  <c:v>24966.6666666667</c:v>
                </c:pt>
                <c:pt idx="1">
                  <c:v>49933.3333333333</c:v>
                </c:pt>
                <c:pt idx="2">
                  <c:v>74900</c:v>
                </c:pt>
                <c:pt idx="3">
                  <c:v>99866.6666666667</c:v>
                </c:pt>
                <c:pt idx="4">
                  <c:v>124833.333333333</c:v>
                </c:pt>
                <c:pt idx="5">
                  <c:v>149800</c:v>
                </c:pt>
                <c:pt idx="6">
                  <c:v>174766.666666667</c:v>
                </c:pt>
                <c:pt idx="7">
                  <c:v>199733.333333333</c:v>
                </c:pt>
                <c:pt idx="8">
                  <c:v>224700</c:v>
                </c:pt>
                <c:pt idx="9">
                  <c:v>249666.666666667</c:v>
                </c:pt>
                <c:pt idx="10">
                  <c:v>274633.333333333</c:v>
                </c:pt>
                <c:pt idx="11">
                  <c:v>299600</c:v>
                </c:pt>
                <c:pt idx="12">
                  <c:v>421225</c:v>
                </c:pt>
                <c:pt idx="13">
                  <c:v>527870</c:v>
                </c:pt>
                <c:pt idx="14">
                  <c:v>634515</c:v>
                </c:pt>
                <c:pt idx="15">
                  <c:v>741160</c:v>
                </c:pt>
                <c:pt idx="16">
                  <c:v>847805</c:v>
                </c:pt>
                <c:pt idx="17">
                  <c:v>954450</c:v>
                </c:pt>
                <c:pt idx="18">
                  <c:v>1061095</c:v>
                </c:pt>
                <c:pt idx="19">
                  <c:v>1167740</c:v>
                </c:pt>
                <c:pt idx="20">
                  <c:v>1274385</c:v>
                </c:pt>
                <c:pt idx="21">
                  <c:v>1381030</c:v>
                </c:pt>
                <c:pt idx="22">
                  <c:v>1487675</c:v>
                </c:pt>
                <c:pt idx="23">
                  <c:v>1594320</c:v>
                </c:pt>
                <c:pt idx="24">
                  <c:v>1954168.33333333</c:v>
                </c:pt>
                <c:pt idx="25">
                  <c:v>2238096.66666667</c:v>
                </c:pt>
                <c:pt idx="26">
                  <c:v>2522025</c:v>
                </c:pt>
                <c:pt idx="27">
                  <c:v>2805953.33333333</c:v>
                </c:pt>
                <c:pt idx="28">
                  <c:v>3089881.66666667</c:v>
                </c:pt>
                <c:pt idx="29">
                  <c:v>3373810</c:v>
                </c:pt>
                <c:pt idx="30">
                  <c:v>3657738.33333333</c:v>
                </c:pt>
                <c:pt idx="31">
                  <c:v>3941666.66666667</c:v>
                </c:pt>
                <c:pt idx="32">
                  <c:v>4225595</c:v>
                </c:pt>
                <c:pt idx="33">
                  <c:v>4509523.33333333</c:v>
                </c:pt>
                <c:pt idx="34">
                  <c:v>4793451.66666667</c:v>
                </c:pt>
                <c:pt idx="35">
                  <c:v>5077380</c:v>
                </c:pt>
              </c:numCache>
            </c:numRef>
          </c:val>
          <c:smooth val="1"/>
        </c:ser>
        <c:hiLowLines>
          <c:spPr>
            <a:ln w="0">
              <a:noFill/>
            </a:ln>
          </c:spPr>
        </c:hiLowLines>
        <c:marker val="0"/>
        <c:axId val="30226391"/>
        <c:axId val="66328671"/>
      </c:lineChart>
      <c:catAx>
        <c:axId val="3022639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28671"/>
        <c:crosses val="autoZero"/>
        <c:auto val="1"/>
        <c:lblAlgn val="ctr"/>
        <c:lblOffset val="100"/>
        <c:noMultiLvlLbl val="0"/>
      </c:catAx>
      <c:valAx>
        <c:axId val="6632867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2263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Subscription Revenue Mix — Starter vs Business Shield</a:t>
            </a:r>
          </a:p>
        </c:rich>
      </c:tx>
      <c:overlay val="0"/>
      <c:spPr>
        <a:noFill/>
        <a:ln w="0">
          <a:noFill/>
        </a:ln>
      </c:spPr>
    </c:title>
    <c:autoTitleDeleted val="0"/>
    <c:plotArea>
      <c:barChart>
        <c:barDir val="col"/>
        <c:grouping val="stacked"/>
        <c:varyColors val="0"/>
        <c:ser>
          <c:idx val="0"/>
          <c:order val="0"/>
          <c:tx>
            <c:strRef>
              <c:f>'Revenue Projection'!I51</c:f>
              <c:strCache>
                <c:ptCount val="1"/>
                <c:pt idx="0">
                  <c:v>Starter 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Projection'!$H$52:$H$54</c:f>
              <c:strCache>
                <c:ptCount val="3"/>
                <c:pt idx="0">
                  <c:v>Year 1</c:v>
                </c:pt>
                <c:pt idx="1">
                  <c:v>Year 2</c:v>
                </c:pt>
                <c:pt idx="2">
                  <c:v>Year 3</c:v>
                </c:pt>
              </c:strCache>
            </c:strRef>
          </c:cat>
          <c:val>
            <c:numRef>
              <c:f>'Revenue Projection'!$I$52:$I$54</c:f>
              <c:numCache>
                <c:formatCode>#,##0;\(#,##0\);\-</c:formatCode>
                <c:ptCount val="3"/>
                <c:pt idx="0">
                  <c:v>973050</c:v>
                </c:pt>
                <c:pt idx="1">
                  <c:v>3677630</c:v>
                </c:pt>
                <c:pt idx="2">
                  <c:v>7864240</c:v>
                </c:pt>
              </c:numCache>
            </c:numRef>
          </c:val>
        </c:ser>
        <c:ser>
          <c:idx val="1"/>
          <c:order val="1"/>
          <c:tx>
            <c:strRef>
              <c:f>'Revenue Projection'!J51</c:f>
              <c:strCache>
                <c:ptCount val="1"/>
                <c:pt idx="0">
                  <c:v>Business Revenue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Projection'!$H$52:$H$54</c:f>
              <c:strCache>
                <c:ptCount val="3"/>
                <c:pt idx="0">
                  <c:v>Year 1</c:v>
                </c:pt>
                <c:pt idx="1">
                  <c:v>Year 2</c:v>
                </c:pt>
                <c:pt idx="2">
                  <c:v>Year 3</c:v>
                </c:pt>
              </c:strCache>
            </c:strRef>
          </c:cat>
          <c:val>
            <c:numRef>
              <c:f>'Revenue Projection'!$J$52:$J$54</c:f>
              <c:numCache>
                <c:formatCode>#,##0;\(#,##0\);\-</c:formatCode>
                <c:ptCount val="3"/>
                <c:pt idx="0">
                  <c:v>974350</c:v>
                </c:pt>
                <c:pt idx="1">
                  <c:v>7839770</c:v>
                </c:pt>
                <c:pt idx="2">
                  <c:v>30489660</c:v>
                </c:pt>
              </c:numCache>
            </c:numRef>
          </c:val>
        </c:ser>
        <c:gapWidth val="150"/>
        <c:overlap val="100"/>
        <c:axId val="29936996"/>
        <c:axId val="11784695"/>
      </c:barChart>
      <c:catAx>
        <c:axId val="299369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784695"/>
        <c:crosses val="autoZero"/>
        <c:auto val="1"/>
        <c:lblAlgn val="ctr"/>
        <c:lblOffset val="100"/>
        <c:noMultiLvlLbl val="0"/>
      </c:catAx>
      <c:valAx>
        <c:axId val="1178469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369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EBITDA &amp; Net Profit by Year (₹)</a:t>
            </a:r>
          </a:p>
        </c:rich>
      </c:tx>
      <c:overlay val="0"/>
      <c:spPr>
        <a:noFill/>
        <a:ln w="0">
          <a:noFill/>
        </a:ln>
      </c:spPr>
    </c:title>
    <c:autoTitleDeleted val="0"/>
    <c:plotArea>
      <c:barChart>
        <c:barDir val="col"/>
        <c:grouping val="clustered"/>
        <c:varyColors val="0"/>
        <c:ser>
          <c:idx val="0"/>
          <c:order val="0"/>
          <c:tx>
            <c:strRef>
              <c:f>'Profit &amp; Loss Statement'!C24</c:f>
              <c:strCache>
                <c:ptCount val="1"/>
                <c:pt idx="0">
                  <c:v>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'Profit &amp; Loss Statement'!$B$25:$B$27</c:f>
              <c:strCache>
                <c:ptCount val="3"/>
                <c:pt idx="0">
                  <c:v>Year 1</c:v>
                </c:pt>
                <c:pt idx="1">
                  <c:v>Year 2</c:v>
                </c:pt>
                <c:pt idx="2">
                  <c:v>Year 3</c:v>
                </c:pt>
              </c:strCache>
            </c:strRef>
          </c:cat>
          <c:val>
            <c:numRef>
              <c:f>'Profit &amp; Loss Statement'!$C$25:$C$27</c:f>
              <c:numCache>
                <c:formatCode>#,##0;\(#,##0\);\-</c:formatCode>
                <c:ptCount val="3"/>
                <c:pt idx="0">
                  <c:v>1947400</c:v>
                </c:pt>
                <c:pt idx="1">
                  <c:v>12093270</c:v>
                </c:pt>
                <c:pt idx="2">
                  <c:v>42189290</c:v>
                </c:pt>
              </c:numCache>
            </c:numRef>
          </c:val>
        </c:ser>
        <c:ser>
          <c:idx val="1"/>
          <c:order val="1"/>
          <c:tx>
            <c:strRef>
              <c:f>'Profit &amp; Loss Statement'!D24</c:f>
              <c:strCache>
                <c:ptCount val="1"/>
                <c:pt idx="0">
                  <c:v>EBITDA</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'Profit &amp; Loss Statement'!$B$25:$B$27</c:f>
              <c:strCache>
                <c:ptCount val="3"/>
                <c:pt idx="0">
                  <c:v>Year 1</c:v>
                </c:pt>
                <c:pt idx="1">
                  <c:v>Year 2</c:v>
                </c:pt>
                <c:pt idx="2">
                  <c:v>Year 3</c:v>
                </c:pt>
              </c:strCache>
            </c:strRef>
          </c:cat>
          <c:val>
            <c:numRef>
              <c:f>'Profit &amp; Loss Statement'!$D$25:$D$27</c:f>
              <c:numCache>
                <c:formatCode>#,##0;\(#,##0\);\-</c:formatCode>
                <c:ptCount val="3"/>
                <c:pt idx="0">
                  <c:v>-6352600</c:v>
                </c:pt>
                <c:pt idx="1">
                  <c:v>-5006730</c:v>
                </c:pt>
                <c:pt idx="2">
                  <c:v>14889290</c:v>
                </c:pt>
              </c:numCache>
            </c:numRef>
          </c:val>
        </c:ser>
        <c:ser>
          <c:idx val="2"/>
          <c:order val="2"/>
          <c:tx>
            <c:strRef>
              <c:f>'Profit &amp; Loss Statement'!E24</c:f>
              <c:strCache>
                <c:ptCount val="1"/>
                <c:pt idx="0">
                  <c:v>Net Profit</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'Profit &amp; Loss Statement'!$B$25:$B$27</c:f>
              <c:strCache>
                <c:ptCount val="3"/>
                <c:pt idx="0">
                  <c:v>Year 1</c:v>
                </c:pt>
                <c:pt idx="1">
                  <c:v>Year 2</c:v>
                </c:pt>
                <c:pt idx="2">
                  <c:v>Year 3</c:v>
                </c:pt>
              </c:strCache>
            </c:strRef>
          </c:cat>
          <c:val>
            <c:numRef>
              <c:f>'Profit &amp; Loss Statement'!$E$25:$E$27</c:f>
              <c:numCache>
                <c:formatCode>#,##0;\(#,##0\);\-</c:formatCode>
                <c:ptCount val="3"/>
                <c:pt idx="0">
                  <c:v>-6992600</c:v>
                </c:pt>
                <c:pt idx="1">
                  <c:v>-5646730</c:v>
                </c:pt>
                <c:pt idx="2">
                  <c:v>10686967.5</c:v>
                </c:pt>
              </c:numCache>
            </c:numRef>
          </c:val>
        </c:ser>
        <c:gapWidth val="150"/>
        <c:overlap val="0"/>
        <c:axId val="97314012"/>
        <c:axId val="85266654"/>
      </c:barChart>
      <c:catAx>
        <c:axId val="973140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266654"/>
        <c:crosses val="autoZero"/>
        <c:auto val="1"/>
        <c:lblAlgn val="ctr"/>
        <c:lblOffset val="100"/>
        <c:noMultiLvlLbl val="0"/>
      </c:catAx>
      <c:valAx>
        <c:axId val="8526665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3140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Trend: Monthly Revenue vs. Fixed Cost</a:t>
            </a:r>
          </a:p>
        </c:rich>
      </c:tx>
      <c:overlay val="0"/>
      <c:spPr>
        <a:noFill/>
        <a:ln w="0">
          <a:noFill/>
        </a:ln>
      </c:spPr>
    </c:title>
    <c:autoTitleDeleted val="0"/>
    <c:plotArea>
      <c:lineChart>
        <c:grouping val="standard"/>
        <c:varyColors val="0"/>
        <c:ser>
          <c:idx val="0"/>
          <c:order val="0"/>
          <c:tx>
            <c:strRef>
              <c:f>'Break-even Analysis'!D20</c:f>
              <c:strCache>
                <c:ptCount val="1"/>
                <c:pt idx="0">
                  <c:v>Monthly Revenue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'Break-even Analysis'!$B$21:$B$32</c:f>
              <c:strCache>
                <c:ptCount val="12"/>
                <c:pt idx="0">
                  <c:v>1</c:v>
                </c:pt>
                <c:pt idx="1">
                  <c:v>4</c:v>
                </c:pt>
                <c:pt idx="2">
                  <c:v>7</c:v>
                </c:pt>
                <c:pt idx="3">
                  <c:v>10</c:v>
                </c:pt>
                <c:pt idx="4">
                  <c:v>13</c:v>
                </c:pt>
                <c:pt idx="5">
                  <c:v>16</c:v>
                </c:pt>
                <c:pt idx="6">
                  <c:v>19</c:v>
                </c:pt>
                <c:pt idx="7">
                  <c:v>22</c:v>
                </c:pt>
                <c:pt idx="8">
                  <c:v>25</c:v>
                </c:pt>
                <c:pt idx="9">
                  <c:v>28</c:v>
                </c:pt>
                <c:pt idx="10">
                  <c:v>31</c:v>
                </c:pt>
                <c:pt idx="11">
                  <c:v>34</c:v>
                </c:pt>
              </c:strCache>
            </c:strRef>
          </c:cat>
          <c:val>
            <c:numRef>
              <c:f>'Break-even Analysis'!$D$21:$D$32</c:f>
              <c:numCache>
                <c:formatCode>#,##0;\(#,##0\);\-</c:formatCode>
                <c:ptCount val="12"/>
                <c:pt idx="0">
                  <c:v>24966.6666666667</c:v>
                </c:pt>
                <c:pt idx="1">
                  <c:v>99866.6666666667</c:v>
                </c:pt>
                <c:pt idx="2">
                  <c:v>174766.666666667</c:v>
                </c:pt>
                <c:pt idx="3">
                  <c:v>249666.666666667</c:v>
                </c:pt>
                <c:pt idx="4">
                  <c:v>421225</c:v>
                </c:pt>
                <c:pt idx="5">
                  <c:v>741160</c:v>
                </c:pt>
                <c:pt idx="6">
                  <c:v>1061095</c:v>
                </c:pt>
                <c:pt idx="7">
                  <c:v>1381030</c:v>
                </c:pt>
                <c:pt idx="8">
                  <c:v>1954168.33333333</c:v>
                </c:pt>
                <c:pt idx="9">
                  <c:v>2805953.33333333</c:v>
                </c:pt>
                <c:pt idx="10">
                  <c:v>3657738.33333333</c:v>
                </c:pt>
                <c:pt idx="11">
                  <c:v>4509523.33333333</c:v>
                </c:pt>
              </c:numCache>
            </c:numRef>
          </c:val>
          <c:smooth val="1"/>
        </c:ser>
        <c:ser>
          <c:idx val="1"/>
          <c:order val="1"/>
          <c:tx>
            <c:strRef>
              <c:f>'Break-even Analysis'!E20</c:f>
              <c:strCache>
                <c:ptCount val="1"/>
                <c:pt idx="0">
                  <c:v>Fixed Monthly Cost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'Break-even Analysis'!$B$21:$B$32</c:f>
              <c:strCache>
                <c:ptCount val="12"/>
                <c:pt idx="0">
                  <c:v>1</c:v>
                </c:pt>
                <c:pt idx="1">
                  <c:v>4</c:v>
                </c:pt>
                <c:pt idx="2">
                  <c:v>7</c:v>
                </c:pt>
                <c:pt idx="3">
                  <c:v>10</c:v>
                </c:pt>
                <c:pt idx="4">
                  <c:v>13</c:v>
                </c:pt>
                <c:pt idx="5">
                  <c:v>16</c:v>
                </c:pt>
                <c:pt idx="6">
                  <c:v>19</c:v>
                </c:pt>
                <c:pt idx="7">
                  <c:v>22</c:v>
                </c:pt>
                <c:pt idx="8">
                  <c:v>25</c:v>
                </c:pt>
                <c:pt idx="9">
                  <c:v>28</c:v>
                </c:pt>
                <c:pt idx="10">
                  <c:v>31</c:v>
                </c:pt>
                <c:pt idx="11">
                  <c:v>34</c:v>
                </c:pt>
              </c:strCache>
            </c:strRef>
          </c:cat>
          <c:val>
            <c:numRef>
              <c:f>'Break-even Analysis'!$E$21:$E$32</c:f>
              <c:numCache>
                <c:formatCode>#,##0;\(#,##0\);\-</c:formatCode>
                <c:ptCount val="12"/>
                <c:pt idx="0">
                  <c:v>691666.666666667</c:v>
                </c:pt>
                <c:pt idx="1">
                  <c:v>691666.666666667</c:v>
                </c:pt>
                <c:pt idx="2">
                  <c:v>691666.666666667</c:v>
                </c:pt>
                <c:pt idx="3">
                  <c:v>691666.666666667</c:v>
                </c:pt>
                <c:pt idx="4">
                  <c:v>691666.666666667</c:v>
                </c:pt>
                <c:pt idx="5">
                  <c:v>691666.666666667</c:v>
                </c:pt>
                <c:pt idx="6">
                  <c:v>691666.666666667</c:v>
                </c:pt>
                <c:pt idx="7">
                  <c:v>691666.666666667</c:v>
                </c:pt>
                <c:pt idx="8">
                  <c:v>691666.666666667</c:v>
                </c:pt>
                <c:pt idx="9">
                  <c:v>691666.666666667</c:v>
                </c:pt>
                <c:pt idx="10">
                  <c:v>691666.666666667</c:v>
                </c:pt>
                <c:pt idx="11">
                  <c:v>691666.666666667</c:v>
                </c:pt>
              </c:numCache>
            </c:numRef>
          </c:val>
          <c:smooth val="1"/>
        </c:ser>
        <c:hiLowLines>
          <c:spPr>
            <a:ln w="0">
              <a:noFill/>
            </a:ln>
          </c:spPr>
        </c:hiLowLines>
        <c:marker val="0"/>
        <c:axId val="76516102"/>
        <c:axId val="207250"/>
      </c:lineChart>
      <c:catAx>
        <c:axId val="7651610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250"/>
        <c:crosses val="autoZero"/>
        <c:auto val="1"/>
        <c:lblAlgn val="ctr"/>
        <c:lblOffset val="100"/>
        <c:noMultiLvlLbl val="0"/>
      </c:catAx>
      <c:valAx>
        <c:axId val="2072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 month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5161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Year 3 Revenue Mix</a:t>
            </a:r>
          </a:p>
        </c:rich>
      </c:tx>
      <c:overlay val="0"/>
      <c:spPr>
        <a:noFill/>
        <a:ln w="0">
          <a:noFill/>
        </a:ln>
      </c:spPr>
    </c:title>
    <c:autoTitleDeleted val="0"/>
    <c:plotArea>
      <c:pieChart>
        <c:varyColors val="1"/>
        <c:ser>
          <c:idx val="0"/>
          <c:order val="0"/>
          <c:tx>
            <c:strRef>
              <c:f>'KPI Dashboard'!C18</c:f>
              <c:strCache>
                <c:ptCount val="1"/>
                <c:pt idx="0">
                  <c:v>Amount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'KPI Dashboard'!$B$19:$B$21</c:f>
              <c:strCache>
                <c:ptCount val="3"/>
                <c:pt idx="0">
                  <c:v>Starter Shield subscriptions</c:v>
                </c:pt>
                <c:pt idx="1">
                  <c:v>Business Shield subscriptions</c:v>
                </c:pt>
                <c:pt idx="2">
                  <c:v>Consulting &amp; training add-ons</c:v>
                </c:pt>
              </c:strCache>
            </c:strRef>
          </c:cat>
          <c:val>
            <c:numRef>
              <c:f>'KPI Dashboard'!$C$19:$C$21</c:f>
              <c:numCache>
                <c:formatCode>#,##0;\(#,##0\);\-</c:formatCode>
                <c:ptCount val="3"/>
                <c:pt idx="0">
                  <c:v>7864240</c:v>
                </c:pt>
                <c:pt idx="1">
                  <c:v>30489660</c:v>
                </c:pt>
                <c:pt idx="2">
                  <c:v>3835390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Subscriber Growth by Year</a:t>
            </a:r>
          </a:p>
        </c:rich>
      </c:tx>
      <c:overlay val="0"/>
      <c:spPr>
        <a:noFill/>
        <a:ln w="0">
          <a:noFill/>
        </a:ln>
      </c:spPr>
    </c:title>
    <c:autoTitleDeleted val="0"/>
    <c:plotArea>
      <c:barChart>
        <c:barDir val="col"/>
        <c:grouping val="clustered"/>
        <c:varyColors val="0"/>
        <c:ser>
          <c:idx val="0"/>
          <c:order val="0"/>
          <c:tx>
            <c:strRef>
              <c:f>'KPI Dashboard'!C25</c:f>
              <c:strCache>
                <c:ptCount val="1"/>
                <c:pt idx="0">
                  <c:v>Starter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Dashboard'!$B$26:$B$28</c:f>
              <c:strCache>
                <c:ptCount val="3"/>
                <c:pt idx="0">
                  <c:v>Year 1</c:v>
                </c:pt>
                <c:pt idx="1">
                  <c:v>Year 2</c:v>
                </c:pt>
                <c:pt idx="2">
                  <c:v>Year 3</c:v>
                </c:pt>
              </c:strCache>
            </c:strRef>
          </c:cat>
          <c:val>
            <c:numRef>
              <c:f>'KPI Dashboard'!$C$26:$C$28</c:f>
              <c:numCache>
                <c:formatCode>#,##0</c:formatCode>
                <c:ptCount val="3"/>
                <c:pt idx="0">
                  <c:v>300</c:v>
                </c:pt>
                <c:pt idx="1">
                  <c:v>880</c:v>
                </c:pt>
                <c:pt idx="2">
                  <c:v>1680</c:v>
                </c:pt>
              </c:numCache>
            </c:numRef>
          </c:val>
        </c:ser>
        <c:ser>
          <c:idx val="1"/>
          <c:order val="1"/>
          <c:tx>
            <c:strRef>
              <c:f>'KPI Dashboard'!D25</c:f>
              <c:strCache>
                <c:ptCount val="1"/>
                <c:pt idx="0">
                  <c:v>Business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Dashboard'!$B$26:$B$28</c:f>
              <c:strCache>
                <c:ptCount val="3"/>
                <c:pt idx="0">
                  <c:v>Year 1</c:v>
                </c:pt>
                <c:pt idx="1">
                  <c:v>Year 2</c:v>
                </c:pt>
                <c:pt idx="2">
                  <c:v>Year 3</c:v>
                </c:pt>
              </c:strCache>
            </c:strRef>
          </c:cat>
          <c:val>
            <c:numRef>
              <c:f>'KPI Dashboard'!$D$26:$D$28</c:f>
              <c:numCache>
                <c:formatCode>#,##0</c:formatCode>
                <c:ptCount val="3"/>
                <c:pt idx="0">
                  <c:v>100</c:v>
                </c:pt>
                <c:pt idx="1">
                  <c:v>720</c:v>
                </c:pt>
                <c:pt idx="2">
                  <c:v>2520</c:v>
                </c:pt>
              </c:numCache>
            </c:numRef>
          </c:val>
        </c:ser>
        <c:gapWidth val="150"/>
        <c:overlap val="0"/>
        <c:axId val="17019759"/>
        <c:axId val="45977664"/>
      </c:barChart>
      <c:catAx>
        <c:axId val="170197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77664"/>
        <c:crosses val="autoZero"/>
        <c:auto val="1"/>
        <c:lblAlgn val="ctr"/>
        <c:lblOffset val="100"/>
        <c:noMultiLvlLbl val="0"/>
      </c:catAx>
      <c:valAx>
        <c:axId val="4597766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197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MRR Growth — Year-end Snapshots</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'KPI Dashboard'!$C$4:$C$5</c:f>
              <c:numCache>
                <c:formatCode>#,##0;\(#,##0\);\-</c:formatCode>
                <c:ptCount val="2"/>
                <c:pt idx="1">
                  <c:v>299600</c:v>
                </c:pt>
              </c:numCache>
            </c:numRef>
          </c:val>
          <c:smooth val="1"/>
        </c:ser>
        <c:ser>
          <c:idx val="1"/>
          <c:order val="1"/>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'KPI Dashboard'!$D$4:$D$5</c:f>
              <c:numCache>
                <c:formatCode>#,##0;\(#,##0\);\-</c:formatCode>
                <c:ptCount val="2"/>
                <c:pt idx="1">
                  <c:v>1594320</c:v>
                </c:pt>
              </c:numCache>
            </c:numRef>
          </c:val>
          <c:smooth val="1"/>
        </c:ser>
        <c:ser>
          <c:idx val="2"/>
          <c:order val="2"/>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'KPI Dashboard'!$E$4:$E$5</c:f>
              <c:numCache>
                <c:formatCode>#,##0;\(#,##0\);\-</c:formatCode>
                <c:ptCount val="2"/>
                <c:pt idx="1">
                  <c:v>5077380</c:v>
                </c:pt>
              </c:numCache>
            </c:numRef>
          </c:val>
          <c:smooth val="1"/>
        </c:ser>
        <c:hiLowLines>
          <c:spPr>
            <a:ln w="0">
              <a:noFill/>
            </a:ln>
          </c:spPr>
        </c:hiLowLines>
        <c:marker val="0"/>
        <c:axId val="50228453"/>
        <c:axId val="1415293"/>
      </c:lineChart>
      <c:catAx>
        <c:axId val="502284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5293"/>
        <c:crosses val="autoZero"/>
        <c:auto val="1"/>
        <c:lblAlgn val="ctr"/>
        <c:lblOffset val="100"/>
        <c:noMultiLvlLbl val="0"/>
      </c:catAx>
      <c:valAx>
        <c:axId val="141529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2284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LTV : CAC Health (Year 3, scale 0-5x)</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'KPI Dashboard'!$B$33:$B$34</c:f>
              <c:strCache>
                <c:ptCount val="2"/>
                <c:pt idx="0">
                  <c:v>Achieved</c:v>
                </c:pt>
                <c:pt idx="1">
                  <c:v>Remaining (of 5x scale)</c:v>
                </c:pt>
              </c:strCache>
            </c:strRef>
          </c:cat>
          <c:val>
            <c:numRef>
              <c:f>'KPI Dashboard'!$C$33:$C$34</c:f>
              <c:numCache>
                <c:formatCode>0.0\x</c:formatCode>
                <c:ptCount val="2"/>
                <c:pt idx="0">
                  <c:v>5</c:v>
                </c:pt>
                <c:pt idx="1">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Year 3 Revenue &amp; Operating Profit by Scenario (₹)</a:t>
            </a:r>
          </a:p>
        </c:rich>
      </c:tx>
      <c:overlay val="0"/>
      <c:spPr>
        <a:noFill/>
        <a:ln w="0">
          <a:noFill/>
        </a:ln>
      </c:spPr>
    </c:title>
    <c:autoTitleDeleted val="0"/>
    <c:plotArea>
      <c:barChart>
        <c:barDir val="col"/>
        <c:grouping val="clustered"/>
        <c:varyColors val="0"/>
        <c:ser>
          <c:idx val="0"/>
          <c:order val="0"/>
          <c:tx>
            <c:strRef>
              <c:f>'Scenario Analysis'!C19</c:f>
              <c:strCache>
                <c:ptCount val="1"/>
                <c:pt idx="0">
                  <c:v>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Analysis'!$B$20:$B$22</c:f>
              <c:strCache>
                <c:ptCount val="3"/>
                <c:pt idx="0">
                  <c:v>Best Case</c:v>
                </c:pt>
                <c:pt idx="1">
                  <c:v>Expected Case</c:v>
                </c:pt>
                <c:pt idx="2">
                  <c:v>Worst Case</c:v>
                </c:pt>
              </c:strCache>
            </c:strRef>
          </c:cat>
          <c:val>
            <c:numRef>
              <c:f>'Scenario Analysis'!$C$20:$C$22</c:f>
              <c:numCache>
                <c:formatCode>#,##0;\(#,##0\);\-</c:formatCode>
                <c:ptCount val="3"/>
                <c:pt idx="0">
                  <c:v>73114272</c:v>
                </c:pt>
                <c:pt idx="1">
                  <c:v>60928560</c:v>
                </c:pt>
                <c:pt idx="2">
                  <c:v>45696420</c:v>
                </c:pt>
              </c:numCache>
            </c:numRef>
          </c:val>
        </c:ser>
        <c:ser>
          <c:idx val="1"/>
          <c:order val="1"/>
          <c:tx>
            <c:strRef>
              <c:f>'Scenario Analysis'!D19</c:f>
              <c:strCache>
                <c:ptCount val="1"/>
                <c:pt idx="0">
                  <c:v>Operating Profit</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Analysis'!$B$20:$B$22</c:f>
              <c:strCache>
                <c:ptCount val="3"/>
                <c:pt idx="0">
                  <c:v>Best Case</c:v>
                </c:pt>
                <c:pt idx="1">
                  <c:v>Expected Case</c:v>
                </c:pt>
                <c:pt idx="2">
                  <c:v>Worst Case</c:v>
                </c:pt>
              </c:strCache>
            </c:strRef>
          </c:cat>
          <c:val>
            <c:numRef>
              <c:f>'Scenario Analysis'!$D$20:$D$22</c:f>
              <c:numCache>
                <c:formatCode>#,##0;\(#,##0\);\-</c:formatCode>
                <c:ptCount val="3"/>
                <c:pt idx="0">
                  <c:v>40961856.5741893</c:v>
                </c:pt>
                <c:pt idx="1">
                  <c:v>29584880.4784911</c:v>
                </c:pt>
                <c:pt idx="2">
                  <c:v>15363660.3588683</c:v>
                </c:pt>
              </c:numCache>
            </c:numRef>
          </c:val>
        </c:ser>
        <c:gapWidth val="150"/>
        <c:overlap val="0"/>
        <c:axId val="96833915"/>
        <c:axId val="68077148"/>
      </c:barChart>
      <c:catAx>
        <c:axId val="968339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077148"/>
        <c:crosses val="autoZero"/>
        <c:auto val="1"/>
        <c:lblAlgn val="ctr"/>
        <c:lblOffset val="100"/>
        <c:noMultiLvlLbl val="0"/>
      </c:catAx>
      <c:valAx>
        <c:axId val="6807714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8339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Use of Funds</a:t>
            </a:r>
          </a:p>
        </c:rich>
      </c:tx>
      <c:overlay val="0"/>
      <c:spPr>
        <a:noFill/>
        <a:ln w="0">
          <a:noFill/>
        </a:ln>
      </c:spPr>
    </c:title>
    <c:autoTitleDeleted val="0"/>
    <c:plotArea>
      <c:pieChart>
        <c:varyColors val="1"/>
        <c:ser>
          <c:idx val="0"/>
          <c:order val="0"/>
          <c:tx>
            <c:strRef>
              <c:f>'Investment Summary'!C8</c:f>
              <c:strCache>
                <c:ptCount val="1"/>
                <c:pt idx="0">
                  <c:v>Amount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'Investment Summary'!$B$9:$B$14</c:f>
              <c:strCache>
                <c:ptCount val="6"/>
                <c:pt idx="0">
                  <c:v>Product development (platform, mobile app, initial AI models)</c:v>
                </c:pt>
                <c:pt idx="1">
                  <c:v>Cloud infrastructure setup</c:v>
                </c:pt>
                <c:pt idx="2">
                  <c:v>Branding, website &amp; marketing collateral</c:v>
                </c:pt>
                <c:pt idx="3">
                  <c:v>Legal, compliance &amp; incorporation</c:v>
                </c:pt>
                <c:pt idx="4">
                  <c:v>Founding team runway (approx. 6 months)</c:v>
                </c:pt>
                <c:pt idx="5">
                  <c:v>Initial marketing launch budget</c:v>
                </c:pt>
              </c:strCache>
            </c:strRef>
          </c:cat>
          <c:val>
            <c:numRef>
              <c:f>'Investment Summary'!$C$9:$C$14</c:f>
              <c:numCache>
                <c:formatCode>#,##0;\(#,##0\);\-</c:formatCode>
                <c:ptCount val="6"/>
                <c:pt idx="0">
                  <c:v>2500000</c:v>
                </c:pt>
                <c:pt idx="1">
                  <c:v>400000</c:v>
                </c:pt>
                <c:pt idx="2">
                  <c:v>300000</c:v>
                </c:pt>
                <c:pt idx="3">
                  <c:v>200000</c:v>
                </c:pt>
                <c:pt idx="4">
                  <c:v>1500000</c:v>
                </c:pt>
                <c:pt idx="5">
                  <c:v>500000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
</Relationships>
</file>

<file path=xl/drawings/_rels/drawing7.xml.rels><?xml version="1.0" encoding="UTF-8"?>
<Relationships xmlns="http://schemas.openxmlformats.org/package/2006/relationships"><Relationship Id="rId1" Type="http://schemas.openxmlformats.org/officeDocument/2006/relationships/chart" Target="../charts/chart10.xml"/>
</Relationships>
</file>

<file path=xl/drawings/_rels/drawing8.xml.rels><?xml version="1.0" encoding="UTF-8"?>
<Relationships xmlns="http://schemas.openxmlformats.org/package/2006/relationships"><Relationship Id="rId1"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1</xdr:col>
      <xdr:colOff>1238040</xdr:colOff>
      <xdr:row>10</xdr:row>
      <xdr:rowOff>1080</xdr:rowOff>
    </xdr:to>
    <xdr:pic>
      <xdr:nvPicPr>
        <xdr:cNvPr id="0" name="Image 1" descr="Picture"/>
        <xdr:cNvPicPr/>
      </xdr:nvPicPr>
      <xdr:blipFill>
        <a:blip r:embed="rId1"/>
        <a:stretch/>
      </xdr:blipFill>
      <xdr:spPr>
        <a:xfrm>
          <a:off x="281880" y="1104840"/>
          <a:ext cx="1238040" cy="1238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4</xdr:row>
      <xdr:rowOff>0</xdr:rowOff>
    </xdr:from>
    <xdr:to>
      <xdr:col>9</xdr:col>
      <xdr:colOff>71280</xdr:colOff>
      <xdr:row>20</xdr:row>
      <xdr:rowOff>106200</xdr:rowOff>
    </xdr:to>
    <xdr:graphicFrame>
      <xdr:nvGraphicFramePr>
        <xdr:cNvPr id="1" name="Chart 1"/>
        <xdr:cNvGraphicFramePr/>
      </xdr:nvGraphicFramePr>
      <xdr:xfrm>
        <a:off x="4581360" y="100980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50</xdr:row>
      <xdr:rowOff>0</xdr:rowOff>
    </xdr:from>
    <xdr:to>
      <xdr:col>8</xdr:col>
      <xdr:colOff>558720</xdr:colOff>
      <xdr:row>67</xdr:row>
      <xdr:rowOff>1080</xdr:rowOff>
    </xdr:to>
    <xdr:graphicFrame>
      <xdr:nvGraphicFramePr>
        <xdr:cNvPr id="2" name="Chart 1"/>
        <xdr:cNvGraphicFramePr/>
      </xdr:nvGraphicFramePr>
      <xdr:xfrm>
        <a:off x="211320" y="1020132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68</xdr:row>
      <xdr:rowOff>0</xdr:rowOff>
    </xdr:from>
    <xdr:to>
      <xdr:col>7</xdr:col>
      <xdr:colOff>896040</xdr:colOff>
      <xdr:row>85</xdr:row>
      <xdr:rowOff>1080</xdr:rowOff>
    </xdr:to>
    <xdr:graphicFrame>
      <xdr:nvGraphicFramePr>
        <xdr:cNvPr id="3" name="Chart 2"/>
        <xdr:cNvGraphicFramePr/>
      </xdr:nvGraphicFramePr>
      <xdr:xfrm>
        <a:off x="211320" y="1363032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29</xdr:row>
      <xdr:rowOff>0</xdr:rowOff>
    </xdr:from>
    <xdr:to>
      <xdr:col>4</xdr:col>
      <xdr:colOff>903600</xdr:colOff>
      <xdr:row>46</xdr:row>
      <xdr:rowOff>1080</xdr:rowOff>
    </xdr:to>
    <xdr:graphicFrame>
      <xdr:nvGraphicFramePr>
        <xdr:cNvPr id="4" name="Chart 1"/>
        <xdr:cNvGraphicFramePr/>
      </xdr:nvGraphicFramePr>
      <xdr:xfrm>
        <a:off x="211320" y="577224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19</xdr:row>
      <xdr:rowOff>0</xdr:rowOff>
    </xdr:from>
    <xdr:to>
      <xdr:col>15</xdr:col>
      <xdr:colOff>364680</xdr:colOff>
      <xdr:row>37</xdr:row>
      <xdr:rowOff>170640</xdr:rowOff>
    </xdr:to>
    <xdr:graphicFrame>
      <xdr:nvGraphicFramePr>
        <xdr:cNvPr id="5" name="Chart 1"/>
        <xdr:cNvGraphicFramePr/>
      </xdr:nvGraphicFramePr>
      <xdr:xfrm>
        <a:off x="7871400" y="386712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11</xdr:col>
      <xdr:colOff>159120</xdr:colOff>
      <xdr:row>17</xdr:row>
      <xdr:rowOff>69480</xdr:rowOff>
    </xdr:to>
    <xdr:graphicFrame>
      <xdr:nvGraphicFramePr>
        <xdr:cNvPr id="6" name="Chart 1"/>
        <xdr:cNvGraphicFramePr/>
      </xdr:nvGraphicFramePr>
      <xdr:xfrm>
        <a:off x="6061680" y="73332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11</xdr:col>
      <xdr:colOff>159120</xdr:colOff>
      <xdr:row>33</xdr:row>
      <xdr:rowOff>155520</xdr:rowOff>
    </xdr:to>
    <xdr:graphicFrame>
      <xdr:nvGraphicFramePr>
        <xdr:cNvPr id="7" name="Chart 2"/>
        <xdr:cNvGraphicFramePr/>
      </xdr:nvGraphicFramePr>
      <xdr:xfrm>
        <a:off x="6061680" y="392436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11</xdr:col>
      <xdr:colOff>159120</xdr:colOff>
      <xdr:row>50</xdr:row>
      <xdr:rowOff>21960</xdr:rowOff>
    </xdr:to>
    <xdr:graphicFrame>
      <xdr:nvGraphicFramePr>
        <xdr:cNvPr id="8" name="Chart 3"/>
        <xdr:cNvGraphicFramePr/>
      </xdr:nvGraphicFramePr>
      <xdr:xfrm>
        <a:off x="6061680" y="702936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51</xdr:row>
      <xdr:rowOff>0</xdr:rowOff>
    </xdr:from>
    <xdr:to>
      <xdr:col>11</xdr:col>
      <xdr:colOff>159120</xdr:colOff>
      <xdr:row>66</xdr:row>
      <xdr:rowOff>22320</xdr:rowOff>
    </xdr:to>
    <xdr:graphicFrame>
      <xdr:nvGraphicFramePr>
        <xdr:cNvPr id="9" name="Chart 4"/>
        <xdr:cNvGraphicFramePr/>
      </xdr:nvGraphicFramePr>
      <xdr:xfrm>
        <a:off x="6061680" y="10077480"/>
        <a:ext cx="431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4</xdr:col>
      <xdr:colOff>387360</xdr:colOff>
      <xdr:row>41</xdr:row>
      <xdr:rowOff>1080</xdr:rowOff>
    </xdr:to>
    <xdr:graphicFrame>
      <xdr:nvGraphicFramePr>
        <xdr:cNvPr id="10" name="Chart 1"/>
        <xdr:cNvGraphicFramePr/>
      </xdr:nvGraphicFramePr>
      <xdr:xfrm>
        <a:off x="211320" y="4819680"/>
        <a:ext cx="50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14</xdr:col>
      <xdr:colOff>147600</xdr:colOff>
      <xdr:row>19</xdr:row>
      <xdr:rowOff>20160</xdr:rowOff>
    </xdr:to>
    <xdr:graphicFrame>
      <xdr:nvGraphicFramePr>
        <xdr:cNvPr id="11" name="Chart 1"/>
        <xdr:cNvGraphicFramePr/>
      </xdr:nvGraphicFramePr>
      <xdr:xfrm>
        <a:off x="9422280" y="733320"/>
        <a:ext cx="50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1F44"/>
    <pageSetUpPr fitToPage="false"/>
  </sheetPr>
  <dimension ref="A1:G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0"/>
    <col collapsed="false" customWidth="true" hidden="false" outlineLevel="0" max="6" min="4" style="0" width="22"/>
    <col collapsed="false" customWidth="true" hidden="false" outlineLevel="0" max="7" min="7" style="0" width="4"/>
  </cols>
  <sheetData>
    <row r="1" customFormat="false" ht="18" hidden="false" customHeight="true" outlineLevel="0" collapsed="false">
      <c r="A1" s="1"/>
      <c r="B1" s="1"/>
      <c r="C1" s="1"/>
      <c r="D1" s="1"/>
      <c r="E1" s="1"/>
      <c r="F1" s="1"/>
      <c r="G1" s="1"/>
    </row>
    <row r="2" customFormat="false" ht="18" hidden="false" customHeight="true" outlineLevel="0" collapsed="false">
      <c r="A2" s="1"/>
      <c r="B2" s="1"/>
      <c r="C2" s="1"/>
      <c r="D2" s="1"/>
      <c r="E2" s="1"/>
      <c r="F2" s="1"/>
      <c r="G2" s="1"/>
    </row>
    <row r="3" customFormat="false" ht="18" hidden="false" customHeight="true" outlineLevel="0" collapsed="false">
      <c r="A3" s="1"/>
      <c r="B3" s="1"/>
      <c r="C3" s="1"/>
      <c r="D3" s="1"/>
      <c r="E3" s="1"/>
      <c r="F3" s="1"/>
      <c r="G3" s="1"/>
    </row>
    <row r="4" customFormat="false" ht="18" hidden="false" customHeight="true" outlineLevel="0" collapsed="false">
      <c r="A4" s="1"/>
      <c r="B4" s="1"/>
      <c r="C4" s="1"/>
      <c r="D4" s="1"/>
      <c r="E4" s="1"/>
      <c r="F4" s="1"/>
      <c r="G4" s="1"/>
    </row>
    <row r="7" customFormat="false" ht="36.25" hidden="false" customHeight="false" outlineLevel="0" collapsed="false">
      <c r="C7" s="2" t="s">
        <v>0</v>
      </c>
      <c r="D7" s="2"/>
      <c r="E7" s="2"/>
      <c r="F7" s="2"/>
    </row>
    <row r="8" customFormat="false" ht="16.15" hidden="false" customHeight="false" outlineLevel="0" collapsed="false">
      <c r="C8" s="3" t="s">
        <v>1</v>
      </c>
      <c r="D8" s="3"/>
      <c r="E8" s="3"/>
      <c r="F8" s="3"/>
    </row>
    <row r="13" customFormat="false" ht="39.75" hidden="false" customHeight="true" outlineLevel="0" collapsed="false">
      <c r="B13" s="4" t="s">
        <v>2</v>
      </c>
      <c r="C13" s="4"/>
      <c r="D13" s="4"/>
      <c r="E13" s="4"/>
      <c r="F13" s="4"/>
    </row>
    <row r="14" customFormat="false" ht="24" hidden="false" customHeight="true" outlineLevel="0" collapsed="false">
      <c r="B14" s="5" t="s">
        <v>3</v>
      </c>
      <c r="C14" s="5"/>
      <c r="D14" s="5"/>
      <c r="E14" s="5"/>
      <c r="F14" s="5"/>
    </row>
    <row r="16" customFormat="false" ht="19.5" hidden="false" customHeight="true" outlineLevel="0" collapsed="false">
      <c r="B16" s="6" t="s">
        <v>4</v>
      </c>
      <c r="C16" s="6"/>
      <c r="D16" s="6"/>
      <c r="E16" s="6"/>
      <c r="F16" s="6"/>
    </row>
    <row r="17" customFormat="false" ht="18" hidden="false" customHeight="true" outlineLevel="0" collapsed="false">
      <c r="B17" s="7" t="s">
        <v>5</v>
      </c>
      <c r="C17" s="8" t="s">
        <v>6</v>
      </c>
      <c r="D17" s="8"/>
      <c r="E17" s="8"/>
      <c r="F17" s="8"/>
    </row>
    <row r="18" customFormat="false" ht="18" hidden="false" customHeight="true" outlineLevel="0" collapsed="false">
      <c r="B18" s="7" t="s">
        <v>7</v>
      </c>
      <c r="C18" s="8" t="s">
        <v>8</v>
      </c>
      <c r="D18" s="8"/>
      <c r="E18" s="8"/>
      <c r="F18" s="8"/>
    </row>
    <row r="19" customFormat="false" ht="18" hidden="false" customHeight="true" outlineLevel="0" collapsed="false">
      <c r="B19" s="7" t="s">
        <v>9</v>
      </c>
      <c r="C19" s="8" t="s">
        <v>10</v>
      </c>
      <c r="D19" s="8"/>
      <c r="E19" s="8"/>
      <c r="F19" s="8"/>
    </row>
    <row r="20" customFormat="false" ht="18" hidden="false" customHeight="true" outlineLevel="0" collapsed="false">
      <c r="B20" s="7" t="s">
        <v>11</v>
      </c>
      <c r="C20" s="8" t="s">
        <v>12</v>
      </c>
      <c r="D20" s="8"/>
      <c r="E20" s="8"/>
      <c r="F20" s="8"/>
    </row>
    <row r="21" customFormat="false" ht="18" hidden="false" customHeight="true" outlineLevel="0" collapsed="false">
      <c r="B21" s="7" t="s">
        <v>13</v>
      </c>
      <c r="C21" s="8" t="s">
        <v>14</v>
      </c>
      <c r="D21" s="8"/>
      <c r="E21" s="8"/>
      <c r="F21" s="8"/>
    </row>
    <row r="22" customFormat="false" ht="18" hidden="false" customHeight="true" outlineLevel="0" collapsed="false">
      <c r="B22" s="7" t="s">
        <v>15</v>
      </c>
      <c r="C22" s="8" t="s">
        <v>16</v>
      </c>
      <c r="D22" s="8"/>
      <c r="E22" s="8"/>
      <c r="F22" s="8"/>
    </row>
    <row r="23" customFormat="false" ht="18" hidden="false" customHeight="true" outlineLevel="0" collapsed="false">
      <c r="B23" s="7" t="s">
        <v>17</v>
      </c>
      <c r="C23" s="8" t="s">
        <v>18</v>
      </c>
      <c r="D23" s="8"/>
      <c r="E23" s="8"/>
      <c r="F23" s="8"/>
    </row>
    <row r="26" customFormat="false" ht="15" hidden="false" customHeight="true" outlineLevel="0" collapsed="false">
      <c r="B26" s="9" t="s">
        <v>19</v>
      </c>
      <c r="C26" s="9"/>
      <c r="D26" s="9"/>
      <c r="E26" s="9"/>
      <c r="F26" s="9"/>
    </row>
    <row r="27" customFormat="false" ht="15" hidden="false" customHeight="false" outlineLevel="0" collapsed="false">
      <c r="B27" s="9"/>
      <c r="C27" s="9"/>
      <c r="D27" s="9"/>
      <c r="E27" s="9"/>
      <c r="F27" s="9"/>
    </row>
    <row r="28" customFormat="false" ht="15" hidden="false" customHeight="false" outlineLevel="0" collapsed="false">
      <c r="B28" s="9"/>
      <c r="C28" s="9"/>
      <c r="D28" s="9"/>
      <c r="E28" s="9"/>
      <c r="F28" s="9"/>
    </row>
    <row r="29" customFormat="false" ht="15" hidden="false" customHeight="false" outlineLevel="0" collapsed="false">
      <c r="B29" s="9"/>
      <c r="C29" s="9"/>
      <c r="D29" s="9"/>
      <c r="E29" s="9"/>
      <c r="F29" s="9"/>
    </row>
    <row r="30" customFormat="false" ht="15" hidden="false" customHeight="false" outlineLevel="0" collapsed="false">
      <c r="B30" s="9"/>
      <c r="C30" s="9"/>
      <c r="D30" s="9"/>
      <c r="E30" s="9"/>
      <c r="F30" s="9"/>
    </row>
    <row r="33" customFormat="false" ht="19.5" hidden="false" customHeight="true" outlineLevel="0" collapsed="false">
      <c r="B33" s="6" t="s">
        <v>20</v>
      </c>
      <c r="C33" s="6"/>
      <c r="D33" s="6"/>
      <c r="E33" s="6"/>
      <c r="F33" s="6"/>
    </row>
    <row r="34" customFormat="false" ht="15" hidden="false" customHeight="false" outlineLevel="0" collapsed="false">
      <c r="B34" s="10" t="s">
        <v>21</v>
      </c>
      <c r="C34" s="10"/>
      <c r="D34" s="10"/>
    </row>
    <row r="35" customFormat="false" ht="15" hidden="false" customHeight="false" outlineLevel="0" collapsed="false">
      <c r="B35" s="11" t="s">
        <v>22</v>
      </c>
      <c r="C35" s="11"/>
      <c r="D35" s="11"/>
    </row>
    <row r="36" customFormat="false" ht="15" hidden="false" customHeight="false" outlineLevel="0" collapsed="false">
      <c r="B36" s="10" t="s">
        <v>23</v>
      </c>
      <c r="C36" s="10"/>
      <c r="D36" s="10"/>
    </row>
    <row r="37" customFormat="false" ht="15" hidden="false" customHeight="false" outlineLevel="0" collapsed="false">
      <c r="B37" s="11" t="s">
        <v>24</v>
      </c>
      <c r="C37" s="11"/>
      <c r="D37" s="11"/>
    </row>
    <row r="38" customFormat="false" ht="15" hidden="false" customHeight="false" outlineLevel="0" collapsed="false">
      <c r="B38" s="10" t="s">
        <v>25</v>
      </c>
      <c r="C38" s="10"/>
      <c r="D38" s="10"/>
    </row>
    <row r="39" customFormat="false" ht="15" hidden="false" customHeight="false" outlineLevel="0" collapsed="false">
      <c r="B39" s="11" t="s">
        <v>26</v>
      </c>
      <c r="C39" s="11"/>
      <c r="D39" s="11"/>
    </row>
    <row r="40" customFormat="false" ht="15" hidden="false" customHeight="false" outlineLevel="0" collapsed="false">
      <c r="B40" s="10" t="s">
        <v>27</v>
      </c>
      <c r="C40" s="10"/>
      <c r="D40" s="10"/>
    </row>
    <row r="41" customFormat="false" ht="15" hidden="false" customHeight="false" outlineLevel="0" collapsed="false">
      <c r="B41" s="11" t="s">
        <v>28</v>
      </c>
      <c r="C41" s="11"/>
      <c r="D41" s="11"/>
    </row>
    <row r="42" customFormat="false" ht="15" hidden="false" customHeight="false" outlineLevel="0" collapsed="false">
      <c r="B42" s="10" t="s">
        <v>29</v>
      </c>
      <c r="C42" s="10"/>
      <c r="D42" s="10"/>
    </row>
    <row r="43" customFormat="false" ht="15" hidden="false" customHeight="false" outlineLevel="0" collapsed="false">
      <c r="B43" s="11" t="s">
        <v>30</v>
      </c>
      <c r="C43" s="11"/>
      <c r="D43" s="11"/>
    </row>
  </sheetData>
  <mergeCells count="24">
    <mergeCell ref="C7:F7"/>
    <mergeCell ref="C8:F8"/>
    <mergeCell ref="B13:F13"/>
    <mergeCell ref="B14:F14"/>
    <mergeCell ref="B16:F16"/>
    <mergeCell ref="C17:F17"/>
    <mergeCell ref="C18:F18"/>
    <mergeCell ref="C19:F19"/>
    <mergeCell ref="C20:F20"/>
    <mergeCell ref="C21:F21"/>
    <mergeCell ref="C22:F22"/>
    <mergeCell ref="C23:F23"/>
    <mergeCell ref="B26:F30"/>
    <mergeCell ref="B33:F33"/>
    <mergeCell ref="B34:D34"/>
    <mergeCell ref="B35:D35"/>
    <mergeCell ref="B36:D36"/>
    <mergeCell ref="B37:D37"/>
    <mergeCell ref="B38:D38"/>
    <mergeCell ref="B39:D39"/>
    <mergeCell ref="B40:D40"/>
    <mergeCell ref="B41:D41"/>
    <mergeCell ref="B42:D42"/>
    <mergeCell ref="B43: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6"/>
    <col collapsed="false" customWidth="true" hidden="false" outlineLevel="0" max="6" min="6" style="0" width="46"/>
  </cols>
  <sheetData>
    <row r="1" customFormat="false" ht="27.75" hidden="false" customHeight="true" outlineLevel="0" collapsed="false">
      <c r="B1" s="12" t="s">
        <v>31</v>
      </c>
      <c r="C1" s="12"/>
      <c r="D1" s="12"/>
      <c r="E1" s="12"/>
      <c r="F1" s="12"/>
    </row>
    <row r="2" customFormat="false" ht="15" hidden="false" customHeight="false" outlineLevel="0" collapsed="false">
      <c r="B2" s="13" t="s">
        <v>32</v>
      </c>
      <c r="C2" s="13"/>
      <c r="D2" s="13"/>
      <c r="E2" s="13"/>
      <c r="F2" s="13"/>
    </row>
    <row r="4" customFormat="false" ht="19.5" hidden="false" customHeight="true" outlineLevel="0" collapsed="false">
      <c r="B4" s="6" t="s">
        <v>33</v>
      </c>
      <c r="C4" s="6"/>
      <c r="D4" s="6"/>
      <c r="E4" s="6"/>
      <c r="F4" s="6"/>
    </row>
    <row r="5" customFormat="false" ht="21.75" hidden="false" customHeight="true" outlineLevel="0" collapsed="false">
      <c r="B5" s="14" t="s">
        <v>34</v>
      </c>
      <c r="C5" s="14" t="s">
        <v>35</v>
      </c>
      <c r="D5" s="14"/>
      <c r="E5" s="14"/>
      <c r="F5" s="14" t="s">
        <v>36</v>
      </c>
    </row>
    <row r="6" customFormat="false" ht="15" hidden="false" customHeight="false" outlineLevel="0" collapsed="false">
      <c r="B6" s="15" t="s">
        <v>37</v>
      </c>
      <c r="C6" s="16" t="n">
        <v>499</v>
      </c>
      <c r="F6" s="17" t="s">
        <v>38</v>
      </c>
    </row>
    <row r="7" customFormat="false" ht="15" hidden="false" customHeight="false" outlineLevel="0" collapsed="false">
      <c r="B7" s="15" t="s">
        <v>39</v>
      </c>
      <c r="C7" s="16" t="n">
        <v>1499</v>
      </c>
      <c r="F7" s="17" t="s">
        <v>40</v>
      </c>
    </row>
    <row r="8" customFormat="false" ht="15" hidden="false" customHeight="false" outlineLevel="0" collapsed="false">
      <c r="B8" s="15" t="s">
        <v>41</v>
      </c>
      <c r="C8" s="18" t="s">
        <v>42</v>
      </c>
      <c r="F8" s="17" t="s">
        <v>43</v>
      </c>
    </row>
    <row r="10" customFormat="false" ht="19.5" hidden="false" customHeight="true" outlineLevel="0" collapsed="false">
      <c r="B10" s="6" t="s">
        <v>44</v>
      </c>
      <c r="C10" s="6"/>
      <c r="D10" s="6"/>
      <c r="E10" s="6"/>
      <c r="F10" s="6"/>
    </row>
    <row r="11" customFormat="false" ht="21.75" hidden="false" customHeight="true" outlineLevel="0" collapsed="false">
      <c r="B11" s="14" t="s">
        <v>45</v>
      </c>
      <c r="C11" s="14" t="s">
        <v>46</v>
      </c>
      <c r="D11" s="14" t="s">
        <v>47</v>
      </c>
      <c r="E11" s="14" t="s">
        <v>48</v>
      </c>
      <c r="F11" s="14" t="s">
        <v>36</v>
      </c>
    </row>
    <row r="12" customFormat="false" ht="15" hidden="false" customHeight="false" outlineLevel="0" collapsed="false">
      <c r="B12" s="15" t="s">
        <v>49</v>
      </c>
      <c r="C12" s="16" t="n">
        <v>300</v>
      </c>
      <c r="D12" s="16" t="n">
        <v>880</v>
      </c>
      <c r="E12" s="16" t="n">
        <v>1680</v>
      </c>
    </row>
    <row r="13" customFormat="false" ht="15" hidden="false" customHeight="false" outlineLevel="0" collapsed="false">
      <c r="B13" s="15" t="s">
        <v>50</v>
      </c>
      <c r="C13" s="16" t="n">
        <v>100</v>
      </c>
      <c r="D13" s="16" t="n">
        <v>720</v>
      </c>
      <c r="E13" s="16" t="n">
        <v>2520</v>
      </c>
    </row>
    <row r="14" customFormat="false" ht="15" hidden="false" customHeight="false" outlineLevel="0" collapsed="false">
      <c r="B14" s="19" t="s">
        <v>51</v>
      </c>
      <c r="C14" s="20" t="n">
        <f aca="false">C12+C13</f>
        <v>400</v>
      </c>
      <c r="D14" s="20" t="n">
        <f aca="false">D12+D13</f>
        <v>1600</v>
      </c>
      <c r="E14" s="20" t="n">
        <f aca="false">E12+E13</f>
        <v>4200</v>
      </c>
      <c r="F14" s="17" t="s">
        <v>52</v>
      </c>
    </row>
    <row r="16" customFormat="false" ht="19.5" hidden="false" customHeight="true" outlineLevel="0" collapsed="false">
      <c r="B16" s="6" t="s">
        <v>53</v>
      </c>
      <c r="C16" s="6"/>
      <c r="D16" s="6"/>
      <c r="E16" s="6"/>
      <c r="F16" s="6"/>
    </row>
    <row r="17" customFormat="false" ht="21.75" hidden="false" customHeight="true" outlineLevel="0" collapsed="false">
      <c r="B17" s="14" t="s">
        <v>54</v>
      </c>
      <c r="C17" s="14" t="s">
        <v>46</v>
      </c>
      <c r="D17" s="14" t="s">
        <v>47</v>
      </c>
      <c r="E17" s="14" t="s">
        <v>48</v>
      </c>
      <c r="F17" s="14" t="s">
        <v>36</v>
      </c>
    </row>
    <row r="18" customFormat="false" ht="15" hidden="false" customHeight="false" outlineLevel="0" collapsed="false">
      <c r="B18" s="15" t="s">
        <v>55</v>
      </c>
      <c r="C18" s="21" t="n">
        <v>0</v>
      </c>
      <c r="D18" s="21" t="n">
        <v>0.05</v>
      </c>
      <c r="E18" s="21" t="n">
        <v>0.1</v>
      </c>
      <c r="F18" s="17" t="s">
        <v>56</v>
      </c>
    </row>
    <row r="20" customFormat="false" ht="19.5" hidden="false" customHeight="true" outlineLevel="0" collapsed="false">
      <c r="B20" s="6" t="s">
        <v>57</v>
      </c>
      <c r="C20" s="6"/>
      <c r="D20" s="6"/>
      <c r="E20" s="6"/>
      <c r="F20" s="6"/>
    </row>
    <row r="21" customFormat="false" ht="21.75" hidden="false" customHeight="true" outlineLevel="0" collapsed="false">
      <c r="B21" s="14" t="s">
        <v>58</v>
      </c>
      <c r="C21" s="14" t="s">
        <v>46</v>
      </c>
      <c r="D21" s="14" t="s">
        <v>47</v>
      </c>
      <c r="E21" s="14" t="s">
        <v>48</v>
      </c>
      <c r="F21" s="14" t="s">
        <v>36</v>
      </c>
    </row>
    <row r="22" customFormat="false" ht="15" hidden="false" customHeight="false" outlineLevel="0" collapsed="false">
      <c r="B22" s="15" t="s">
        <v>59</v>
      </c>
      <c r="C22" s="16" t="n">
        <v>6400000</v>
      </c>
      <c r="D22" s="16" t="n">
        <v>12600000</v>
      </c>
      <c r="E22" s="16" t="n">
        <v>20000000</v>
      </c>
    </row>
    <row r="23" customFormat="false" ht="15" hidden="false" customHeight="false" outlineLevel="0" collapsed="false">
      <c r="B23" s="15" t="s">
        <v>60</v>
      </c>
      <c r="C23" s="16" t="n">
        <v>600000</v>
      </c>
      <c r="D23" s="16" t="n">
        <v>1500000</v>
      </c>
      <c r="E23" s="16" t="n">
        <v>2800000</v>
      </c>
    </row>
    <row r="24" customFormat="false" ht="15" hidden="false" customHeight="false" outlineLevel="0" collapsed="false">
      <c r="B24" s="15" t="s">
        <v>61</v>
      </c>
      <c r="C24" s="16" t="n">
        <v>800000</v>
      </c>
      <c r="D24" s="16" t="n">
        <v>2000000</v>
      </c>
      <c r="E24" s="16" t="n">
        <v>3000000</v>
      </c>
    </row>
    <row r="25" customFormat="false" ht="15" hidden="false" customHeight="false" outlineLevel="0" collapsed="false">
      <c r="B25" s="15" t="s">
        <v>62</v>
      </c>
      <c r="C25" s="16" t="n">
        <v>500000</v>
      </c>
      <c r="D25" s="16" t="n">
        <v>1000000</v>
      </c>
      <c r="E25" s="16" t="n">
        <v>1500000</v>
      </c>
    </row>
    <row r="26" customFormat="false" ht="15" hidden="false" customHeight="false" outlineLevel="0" collapsed="false">
      <c r="B26" s="19" t="s">
        <v>63</v>
      </c>
      <c r="C26" s="20" t="n">
        <f aca="false">SUM(C22:C25)</f>
        <v>8300000</v>
      </c>
      <c r="D26" s="20" t="n">
        <f aca="false">SUM(D22:D25)</f>
        <v>17100000</v>
      </c>
      <c r="E26" s="20" t="n">
        <f aca="false">SUM(E22:E25)</f>
        <v>27300000</v>
      </c>
    </row>
    <row r="28" customFormat="false" ht="19.5" hidden="false" customHeight="true" outlineLevel="0" collapsed="false">
      <c r="B28" s="6" t="s">
        <v>64</v>
      </c>
      <c r="C28" s="6"/>
      <c r="D28" s="6"/>
      <c r="E28" s="6"/>
      <c r="F28" s="6"/>
    </row>
    <row r="29" customFormat="false" ht="21.75" hidden="false" customHeight="true" outlineLevel="0" collapsed="false">
      <c r="B29" s="14" t="s">
        <v>65</v>
      </c>
      <c r="C29" s="14" t="s">
        <v>66</v>
      </c>
      <c r="D29" s="14"/>
      <c r="E29" s="14"/>
      <c r="F29" s="14" t="s">
        <v>36</v>
      </c>
    </row>
    <row r="30" customFormat="false" ht="15" hidden="false" customHeight="false" outlineLevel="0" collapsed="false">
      <c r="B30" s="15" t="s">
        <v>67</v>
      </c>
      <c r="C30" s="16" t="n">
        <v>750</v>
      </c>
      <c r="F30" s="17" t="s">
        <v>68</v>
      </c>
    </row>
    <row r="31" customFormat="false" ht="15" hidden="false" customHeight="false" outlineLevel="0" collapsed="false">
      <c r="B31" s="15" t="s">
        <v>69</v>
      </c>
      <c r="C31" s="16" t="n">
        <v>100</v>
      </c>
      <c r="F31" s="17" t="s">
        <v>70</v>
      </c>
    </row>
    <row r="32" customFormat="false" ht="15" hidden="false" customHeight="false" outlineLevel="0" collapsed="false">
      <c r="B32" s="19" t="s">
        <v>71</v>
      </c>
      <c r="C32" s="20" t="n">
        <f aca="false">C30-C31</f>
        <v>650</v>
      </c>
    </row>
    <row r="33" customFormat="false" ht="15" hidden="false" customHeight="false" outlineLevel="0" collapsed="false">
      <c r="B33" s="15" t="s">
        <v>72</v>
      </c>
      <c r="C33" s="21" t="n">
        <v>0.03</v>
      </c>
      <c r="F33" s="17" t="s">
        <v>73</v>
      </c>
    </row>
    <row r="34" customFormat="false" ht="15" hidden="false" customHeight="false" outlineLevel="0" collapsed="false">
      <c r="B34" s="15" t="s">
        <v>74</v>
      </c>
      <c r="C34" s="21" t="n">
        <v>0.85</v>
      </c>
      <c r="F34" s="17" t="s">
        <v>75</v>
      </c>
    </row>
    <row r="35" customFormat="false" ht="15" hidden="false" customHeight="false" outlineLevel="0" collapsed="false">
      <c r="B35" s="19" t="s">
        <v>76</v>
      </c>
      <c r="C35" s="20" t="n">
        <f aca="false">C30*C34/C33</f>
        <v>21250</v>
      </c>
      <c r="F35" s="17" t="s">
        <v>77</v>
      </c>
    </row>
    <row r="37" customFormat="false" ht="19.5" hidden="false" customHeight="true" outlineLevel="0" collapsed="false">
      <c r="B37" s="6" t="s">
        <v>78</v>
      </c>
      <c r="C37" s="6"/>
      <c r="D37" s="6"/>
      <c r="E37" s="6"/>
      <c r="F37" s="6"/>
    </row>
    <row r="38" customFormat="false" ht="21.75" hidden="false" customHeight="true" outlineLevel="0" collapsed="false">
      <c r="B38" s="14" t="s">
        <v>65</v>
      </c>
      <c r="C38" s="14" t="s">
        <v>66</v>
      </c>
      <c r="D38" s="14"/>
      <c r="E38" s="14"/>
      <c r="F38" s="14" t="s">
        <v>36</v>
      </c>
    </row>
    <row r="39" customFormat="false" ht="15" hidden="false" customHeight="false" outlineLevel="0" collapsed="false">
      <c r="B39" s="15" t="s">
        <v>79</v>
      </c>
      <c r="C39" s="21" t="n">
        <v>0.25</v>
      </c>
      <c r="F39" s="17" t="s">
        <v>80</v>
      </c>
    </row>
    <row r="40" customFormat="false" ht="15" hidden="false" customHeight="false" outlineLevel="0" collapsed="false">
      <c r="B40" s="15" t="s">
        <v>81</v>
      </c>
      <c r="C40" s="21" t="n">
        <v>0.18</v>
      </c>
      <c r="F40" s="17" t="s">
        <v>82</v>
      </c>
    </row>
    <row r="41" customFormat="false" ht="15" hidden="false" customHeight="false" outlineLevel="0" collapsed="false">
      <c r="B41" s="15" t="s">
        <v>83</v>
      </c>
      <c r="C41" s="21" t="n">
        <v>0.05</v>
      </c>
      <c r="F41" s="17" t="s">
        <v>84</v>
      </c>
    </row>
    <row r="42" customFormat="false" ht="15" hidden="false" customHeight="false" outlineLevel="0" collapsed="false">
      <c r="B42" s="15" t="s">
        <v>85</v>
      </c>
      <c r="C42" s="22" t="n">
        <v>5</v>
      </c>
      <c r="F42" s="17" t="s">
        <v>86</v>
      </c>
    </row>
    <row r="43" customFormat="false" ht="15" hidden="false" customHeight="false" outlineLevel="0" collapsed="false">
      <c r="B43" s="15" t="s">
        <v>87</v>
      </c>
      <c r="C43" s="21" t="n">
        <v>0.4</v>
      </c>
      <c r="F43" s="17" t="s">
        <v>88</v>
      </c>
    </row>
    <row r="45" customFormat="false" ht="19.5" hidden="false" customHeight="true" outlineLevel="0" collapsed="false">
      <c r="B45" s="6" t="s">
        <v>89</v>
      </c>
      <c r="C45" s="6"/>
      <c r="D45" s="6"/>
      <c r="E45" s="6"/>
      <c r="F45" s="6"/>
    </row>
    <row r="46" customFormat="false" ht="21.75" hidden="false" customHeight="true" outlineLevel="0" collapsed="false">
      <c r="B46" s="14" t="s">
        <v>90</v>
      </c>
      <c r="C46" s="14" t="s">
        <v>91</v>
      </c>
      <c r="D46" s="14"/>
      <c r="E46" s="14"/>
      <c r="F46" s="14" t="s">
        <v>36</v>
      </c>
    </row>
    <row r="47" customFormat="false" ht="15" hidden="false" customHeight="false" outlineLevel="0" collapsed="false">
      <c r="B47" s="15" t="s">
        <v>92</v>
      </c>
      <c r="C47" s="23" t="n">
        <v>1.2</v>
      </c>
    </row>
    <row r="48" customFormat="false" ht="15" hidden="false" customHeight="false" outlineLevel="0" collapsed="false">
      <c r="B48" s="15" t="s">
        <v>93</v>
      </c>
      <c r="C48" s="23" t="n">
        <v>1</v>
      </c>
    </row>
    <row r="49" customFormat="false" ht="15" hidden="false" customHeight="false" outlineLevel="0" collapsed="false">
      <c r="B49" s="15" t="s">
        <v>94</v>
      </c>
      <c r="C49" s="23" t="n">
        <v>0.75</v>
      </c>
    </row>
  </sheetData>
  <mergeCells count="9">
    <mergeCell ref="B1:F1"/>
    <mergeCell ref="B2:F2"/>
    <mergeCell ref="B4:F4"/>
    <mergeCell ref="B10:F10"/>
    <mergeCell ref="B16:F16"/>
    <mergeCell ref="B20:F20"/>
    <mergeCell ref="B28:F28"/>
    <mergeCell ref="B37:F37"/>
    <mergeCell ref="B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8"/>
    <col collapsed="false" customWidth="true" hidden="false" outlineLevel="0" max="4" min="4" style="0" width="4"/>
    <col collapsed="false" customWidth="true" hidden="false" outlineLevel="0" max="5" min="5" style="0" width="46"/>
  </cols>
  <sheetData>
    <row r="1" customFormat="false" ht="27.75" hidden="false" customHeight="true" outlineLevel="0" collapsed="false">
      <c r="B1" s="12" t="s">
        <v>95</v>
      </c>
      <c r="C1" s="12"/>
      <c r="D1" s="12"/>
      <c r="E1" s="12"/>
    </row>
    <row r="2" customFormat="false" ht="15" hidden="false" customHeight="false" outlineLevel="0" collapsed="false">
      <c r="B2" s="13" t="s">
        <v>96</v>
      </c>
      <c r="C2" s="13"/>
      <c r="D2" s="13"/>
      <c r="E2" s="13"/>
    </row>
    <row r="4" customFormat="false" ht="21.75" hidden="false" customHeight="true" outlineLevel="0" collapsed="false">
      <c r="B4" s="14" t="s">
        <v>58</v>
      </c>
      <c r="C4" s="14" t="s">
        <v>97</v>
      </c>
    </row>
    <row r="5" customFormat="false" ht="15" hidden="false" customHeight="false" outlineLevel="0" collapsed="false">
      <c r="B5" s="15" t="s">
        <v>98</v>
      </c>
      <c r="C5" s="16" t="n">
        <v>2500000</v>
      </c>
    </row>
    <row r="6" customFormat="false" ht="15" hidden="false" customHeight="false" outlineLevel="0" collapsed="false">
      <c r="B6" s="15" t="s">
        <v>99</v>
      </c>
      <c r="C6" s="16" t="n">
        <v>400000</v>
      </c>
    </row>
    <row r="7" customFormat="false" ht="15" hidden="false" customHeight="false" outlineLevel="0" collapsed="false">
      <c r="B7" s="15" t="s">
        <v>100</v>
      </c>
      <c r="C7" s="16" t="n">
        <v>300000</v>
      </c>
    </row>
    <row r="8" customFormat="false" ht="15" hidden="false" customHeight="false" outlineLevel="0" collapsed="false">
      <c r="B8" s="15" t="s">
        <v>101</v>
      </c>
      <c r="C8" s="16" t="n">
        <v>200000</v>
      </c>
    </row>
    <row r="9" customFormat="false" ht="15" hidden="false" customHeight="false" outlineLevel="0" collapsed="false">
      <c r="B9" s="15" t="s">
        <v>102</v>
      </c>
      <c r="C9" s="16" t="n">
        <v>1500000</v>
      </c>
    </row>
    <row r="10" customFormat="false" ht="15" hidden="false" customHeight="false" outlineLevel="0" collapsed="false">
      <c r="B10" s="15" t="s">
        <v>103</v>
      </c>
      <c r="C10" s="16" t="n">
        <v>500000</v>
      </c>
    </row>
    <row r="11" customFormat="false" ht="15" hidden="false" customHeight="false" outlineLevel="0" collapsed="false">
      <c r="B11" s="19" t="s">
        <v>104</v>
      </c>
      <c r="C11" s="20" t="n">
        <f aca="false">SUM(C5:C10)</f>
        <v>5400000</v>
      </c>
    </row>
    <row r="12" customFormat="false" ht="15" hidden="false" customHeight="false" outlineLevel="0" collapsed="false">
      <c r="B12" s="15" t="s">
        <v>105</v>
      </c>
      <c r="C12" s="21" t="n">
        <v>0.1</v>
      </c>
      <c r="E12" s="17" t="s">
        <v>106</v>
      </c>
    </row>
    <row r="13" customFormat="false" ht="15" hidden="false" customHeight="false" outlineLevel="0" collapsed="false">
      <c r="B13" s="15" t="s">
        <v>107</v>
      </c>
      <c r="C13" s="24" t="n">
        <f aca="false">C11*C12</f>
        <v>540000</v>
      </c>
    </row>
    <row r="14" customFormat="false" ht="21.75" hidden="false" customHeight="true" outlineLevel="0" collapsed="false">
      <c r="B14" s="25" t="s">
        <v>108</v>
      </c>
      <c r="C14" s="26" t="n">
        <f aca="false">C11+C13</f>
        <v>5940000</v>
      </c>
    </row>
    <row r="16" customFormat="false" ht="15" hidden="false" customHeight="true" outlineLevel="0" collapsed="false">
      <c r="B16" s="27" t="s">
        <v>109</v>
      </c>
      <c r="C16" s="27"/>
      <c r="D16" s="27"/>
      <c r="E16" s="27"/>
    </row>
    <row r="17" customFormat="false" ht="15" hidden="false" customHeight="false" outlineLevel="0" collapsed="false">
      <c r="B17" s="27"/>
      <c r="C17" s="27"/>
      <c r="D17" s="27"/>
      <c r="E17" s="27"/>
    </row>
    <row r="18" customFormat="false" ht="15" hidden="false" customHeight="false" outlineLevel="0" collapsed="false">
      <c r="B18" s="27"/>
      <c r="C18" s="27"/>
      <c r="D18" s="27"/>
      <c r="E18" s="27"/>
    </row>
  </sheetData>
  <mergeCells count="3">
    <mergeCell ref="B1:E1"/>
    <mergeCell ref="B2:E2"/>
    <mergeCell ref="B16: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9"/>
    <col collapsed="false" customWidth="true" hidden="false" outlineLevel="0" max="5" min="4" style="0" width="13"/>
    <col collapsed="false" customWidth="true" hidden="false" outlineLevel="0" max="6" min="6" style="0" width="12"/>
    <col collapsed="false" customWidth="true" hidden="false" outlineLevel="0" max="11" min="7" style="0" width="15"/>
  </cols>
  <sheetData>
    <row r="1" customFormat="false" ht="27.75" hidden="false" customHeight="true" outlineLevel="0" collapsed="false">
      <c r="B1" s="28" t="s">
        <v>110</v>
      </c>
      <c r="C1" s="28"/>
      <c r="D1" s="28"/>
      <c r="E1" s="28"/>
      <c r="F1" s="28"/>
      <c r="G1" s="28"/>
      <c r="H1" s="28"/>
      <c r="I1" s="28"/>
      <c r="J1" s="28"/>
      <c r="K1" s="28"/>
    </row>
    <row r="2" customFormat="false" ht="27.75" hidden="false" customHeight="true" outlineLevel="0" collapsed="false">
      <c r="B2" s="13" t="s">
        <v>111</v>
      </c>
      <c r="C2" s="13"/>
      <c r="D2" s="13"/>
      <c r="E2" s="13"/>
      <c r="F2" s="13"/>
      <c r="G2" s="13"/>
      <c r="H2" s="13"/>
      <c r="I2" s="13"/>
      <c r="J2" s="13"/>
      <c r="K2" s="13"/>
    </row>
    <row r="4" customFormat="false" ht="31.5" hidden="false" customHeight="true" outlineLevel="0" collapsed="false">
      <c r="B4" s="14" t="s">
        <v>112</v>
      </c>
      <c r="C4" s="14" t="s">
        <v>113</v>
      </c>
      <c r="D4" s="14" t="s">
        <v>114</v>
      </c>
      <c r="E4" s="14" t="s">
        <v>115</v>
      </c>
      <c r="F4" s="14" t="s">
        <v>116</v>
      </c>
      <c r="G4" s="14" t="s">
        <v>117</v>
      </c>
      <c r="H4" s="14" t="s">
        <v>118</v>
      </c>
      <c r="I4" s="14" t="s">
        <v>119</v>
      </c>
      <c r="J4" s="14" t="s">
        <v>120</v>
      </c>
      <c r="K4" s="14" t="s">
        <v>121</v>
      </c>
    </row>
    <row r="5" customFormat="false" ht="15" hidden="false" customHeight="false" outlineLevel="0" collapsed="false">
      <c r="B5" s="29" t="n">
        <v>1</v>
      </c>
      <c r="C5" s="29" t="s">
        <v>122</v>
      </c>
      <c r="D5" s="30" t="n">
        <f aca="false">IF(B5&lt;=12,Assumptions!$C$12*B5/12,IF(B5&lt;=24,Assumptions!$C$12+(Assumptions!$D$12-Assumptions!$C$12)*(B5-12)/12,Assumptions!$D$12+(Assumptions!$E$12-Assumptions!$D$12)*(B5-24)/12))</f>
        <v>25</v>
      </c>
      <c r="E5" s="30" t="n">
        <f aca="false">IF(B5&lt;=12,Assumptions!$C$13*B5/12,IF(B5&lt;=24,Assumptions!$C$13+(Assumptions!$D$13-Assumptions!$C$13)*(B5-12)/12,Assumptions!$D$13+(Assumptions!$E$13-Assumptions!$D$13)*(B5-24)/12))</f>
        <v>8.33333333333333</v>
      </c>
      <c r="F5" s="31" t="n">
        <f aca="false">D5+E5</f>
        <v>33.3333333333333</v>
      </c>
      <c r="G5" s="32" t="n">
        <f aca="false">D5*Assumptions!$C$6</f>
        <v>12475</v>
      </c>
      <c r="H5" s="32" t="n">
        <f aca="false">E5*Assumptions!$C$7</f>
        <v>12491.6666666667</v>
      </c>
      <c r="I5" s="20" t="n">
        <f aca="false">G5+H5</f>
        <v>24966.6666666667</v>
      </c>
      <c r="J5" s="32" t="n">
        <f aca="false">I5*Assumptions!$C$18</f>
        <v>0</v>
      </c>
      <c r="K5" s="20" t="n">
        <f aca="false">I5+J5</f>
        <v>24966.6666666667</v>
      </c>
    </row>
    <row r="6" customFormat="false" ht="15" hidden="false" customHeight="false" outlineLevel="0" collapsed="false">
      <c r="B6" s="33" t="n">
        <v>2</v>
      </c>
      <c r="C6" s="33" t="s">
        <v>122</v>
      </c>
      <c r="D6" s="34" t="n">
        <f aca="false">IF(B6&lt;=12,Assumptions!$C$12*B6/12,IF(B6&lt;=24,Assumptions!$C$12+(Assumptions!$D$12-Assumptions!$C$12)*(B6-12)/12,Assumptions!$D$12+(Assumptions!$E$12-Assumptions!$D$12)*(B6-24)/12))</f>
        <v>50</v>
      </c>
      <c r="E6" s="34" t="n">
        <f aca="false">IF(B6&lt;=12,Assumptions!$C$13*B6/12,IF(B6&lt;=24,Assumptions!$C$13+(Assumptions!$D$13-Assumptions!$C$13)*(B6-12)/12,Assumptions!$D$13+(Assumptions!$E$13-Assumptions!$D$13)*(B6-24)/12))</f>
        <v>16.6666666666667</v>
      </c>
      <c r="F6" s="35" t="n">
        <f aca="false">D6+E6</f>
        <v>66.6666666666667</v>
      </c>
      <c r="G6" s="36" t="n">
        <f aca="false">D6*Assumptions!$C$6</f>
        <v>24950</v>
      </c>
      <c r="H6" s="36" t="n">
        <f aca="false">E6*Assumptions!$C$7</f>
        <v>24983.3333333333</v>
      </c>
      <c r="I6" s="37" t="n">
        <f aca="false">G6+H6</f>
        <v>49933.3333333333</v>
      </c>
      <c r="J6" s="36" t="n">
        <f aca="false">I6*Assumptions!$C$18</f>
        <v>0</v>
      </c>
      <c r="K6" s="37" t="n">
        <f aca="false">I6+J6</f>
        <v>49933.3333333333</v>
      </c>
    </row>
    <row r="7" customFormat="false" ht="15" hidden="false" customHeight="false" outlineLevel="0" collapsed="false">
      <c r="B7" s="29" t="n">
        <v>3</v>
      </c>
      <c r="C7" s="29" t="s">
        <v>122</v>
      </c>
      <c r="D7" s="30" t="n">
        <f aca="false">IF(B7&lt;=12,Assumptions!$C$12*B7/12,IF(B7&lt;=24,Assumptions!$C$12+(Assumptions!$D$12-Assumptions!$C$12)*(B7-12)/12,Assumptions!$D$12+(Assumptions!$E$12-Assumptions!$D$12)*(B7-24)/12))</f>
        <v>75</v>
      </c>
      <c r="E7" s="30" t="n">
        <f aca="false">IF(B7&lt;=12,Assumptions!$C$13*B7/12,IF(B7&lt;=24,Assumptions!$C$13+(Assumptions!$D$13-Assumptions!$C$13)*(B7-12)/12,Assumptions!$D$13+(Assumptions!$E$13-Assumptions!$D$13)*(B7-24)/12))</f>
        <v>25</v>
      </c>
      <c r="F7" s="31" t="n">
        <f aca="false">D7+E7</f>
        <v>100</v>
      </c>
      <c r="G7" s="32" t="n">
        <f aca="false">D7*Assumptions!$C$6</f>
        <v>37425</v>
      </c>
      <c r="H7" s="32" t="n">
        <f aca="false">E7*Assumptions!$C$7</f>
        <v>37475</v>
      </c>
      <c r="I7" s="20" t="n">
        <f aca="false">G7+H7</f>
        <v>74900</v>
      </c>
      <c r="J7" s="32" t="n">
        <f aca="false">I7*Assumptions!$C$18</f>
        <v>0</v>
      </c>
      <c r="K7" s="20" t="n">
        <f aca="false">I7+J7</f>
        <v>74900</v>
      </c>
    </row>
    <row r="8" customFormat="false" ht="15" hidden="false" customHeight="false" outlineLevel="0" collapsed="false">
      <c r="B8" s="33" t="n">
        <v>4</v>
      </c>
      <c r="C8" s="33" t="s">
        <v>122</v>
      </c>
      <c r="D8" s="34" t="n">
        <f aca="false">IF(B8&lt;=12,Assumptions!$C$12*B8/12,IF(B8&lt;=24,Assumptions!$C$12+(Assumptions!$D$12-Assumptions!$C$12)*(B8-12)/12,Assumptions!$D$12+(Assumptions!$E$12-Assumptions!$D$12)*(B8-24)/12))</f>
        <v>100</v>
      </c>
      <c r="E8" s="34" t="n">
        <f aca="false">IF(B8&lt;=12,Assumptions!$C$13*B8/12,IF(B8&lt;=24,Assumptions!$C$13+(Assumptions!$D$13-Assumptions!$C$13)*(B8-12)/12,Assumptions!$D$13+(Assumptions!$E$13-Assumptions!$D$13)*(B8-24)/12))</f>
        <v>33.3333333333333</v>
      </c>
      <c r="F8" s="35" t="n">
        <f aca="false">D8+E8</f>
        <v>133.333333333333</v>
      </c>
      <c r="G8" s="36" t="n">
        <f aca="false">D8*Assumptions!$C$6</f>
        <v>49900</v>
      </c>
      <c r="H8" s="36" t="n">
        <f aca="false">E8*Assumptions!$C$7</f>
        <v>49966.6666666667</v>
      </c>
      <c r="I8" s="37" t="n">
        <f aca="false">G8+H8</f>
        <v>99866.6666666667</v>
      </c>
      <c r="J8" s="36" t="n">
        <f aca="false">I8*Assumptions!$C$18</f>
        <v>0</v>
      </c>
      <c r="K8" s="37" t="n">
        <f aca="false">I8+J8</f>
        <v>99866.6666666667</v>
      </c>
    </row>
    <row r="9" customFormat="false" ht="15" hidden="false" customHeight="false" outlineLevel="0" collapsed="false">
      <c r="B9" s="29" t="n">
        <v>5</v>
      </c>
      <c r="C9" s="29" t="s">
        <v>122</v>
      </c>
      <c r="D9" s="30" t="n">
        <f aca="false">IF(B9&lt;=12,Assumptions!$C$12*B9/12,IF(B9&lt;=24,Assumptions!$C$12+(Assumptions!$D$12-Assumptions!$C$12)*(B9-12)/12,Assumptions!$D$12+(Assumptions!$E$12-Assumptions!$D$12)*(B9-24)/12))</f>
        <v>125</v>
      </c>
      <c r="E9" s="30" t="n">
        <f aca="false">IF(B9&lt;=12,Assumptions!$C$13*B9/12,IF(B9&lt;=24,Assumptions!$C$13+(Assumptions!$D$13-Assumptions!$C$13)*(B9-12)/12,Assumptions!$D$13+(Assumptions!$E$13-Assumptions!$D$13)*(B9-24)/12))</f>
        <v>41.6666666666667</v>
      </c>
      <c r="F9" s="31" t="n">
        <f aca="false">D9+E9</f>
        <v>166.666666666667</v>
      </c>
      <c r="G9" s="32" t="n">
        <f aca="false">D9*Assumptions!$C$6</f>
        <v>62375</v>
      </c>
      <c r="H9" s="32" t="n">
        <f aca="false">E9*Assumptions!$C$7</f>
        <v>62458.3333333333</v>
      </c>
      <c r="I9" s="20" t="n">
        <f aca="false">G9+H9</f>
        <v>124833.333333333</v>
      </c>
      <c r="J9" s="32" t="n">
        <f aca="false">I9*Assumptions!$C$18</f>
        <v>0</v>
      </c>
      <c r="K9" s="20" t="n">
        <f aca="false">I9+J9</f>
        <v>124833.333333333</v>
      </c>
    </row>
    <row r="10" customFormat="false" ht="15" hidden="false" customHeight="false" outlineLevel="0" collapsed="false">
      <c r="B10" s="33" t="n">
        <v>6</v>
      </c>
      <c r="C10" s="33" t="s">
        <v>122</v>
      </c>
      <c r="D10" s="34" t="n">
        <f aca="false">IF(B10&lt;=12,Assumptions!$C$12*B10/12,IF(B10&lt;=24,Assumptions!$C$12+(Assumptions!$D$12-Assumptions!$C$12)*(B10-12)/12,Assumptions!$D$12+(Assumptions!$E$12-Assumptions!$D$12)*(B10-24)/12))</f>
        <v>150</v>
      </c>
      <c r="E10" s="34" t="n">
        <f aca="false">IF(B10&lt;=12,Assumptions!$C$13*B10/12,IF(B10&lt;=24,Assumptions!$C$13+(Assumptions!$D$13-Assumptions!$C$13)*(B10-12)/12,Assumptions!$D$13+(Assumptions!$E$13-Assumptions!$D$13)*(B10-24)/12))</f>
        <v>50</v>
      </c>
      <c r="F10" s="35" t="n">
        <f aca="false">D10+E10</f>
        <v>200</v>
      </c>
      <c r="G10" s="36" t="n">
        <f aca="false">D10*Assumptions!$C$6</f>
        <v>74850</v>
      </c>
      <c r="H10" s="36" t="n">
        <f aca="false">E10*Assumptions!$C$7</f>
        <v>74950</v>
      </c>
      <c r="I10" s="37" t="n">
        <f aca="false">G10+H10</f>
        <v>149800</v>
      </c>
      <c r="J10" s="36" t="n">
        <f aca="false">I10*Assumptions!$C$18</f>
        <v>0</v>
      </c>
      <c r="K10" s="37" t="n">
        <f aca="false">I10+J10</f>
        <v>149800</v>
      </c>
    </row>
    <row r="11" customFormat="false" ht="15" hidden="false" customHeight="false" outlineLevel="0" collapsed="false">
      <c r="B11" s="29" t="n">
        <v>7</v>
      </c>
      <c r="C11" s="29" t="s">
        <v>122</v>
      </c>
      <c r="D11" s="30" t="n">
        <f aca="false">IF(B11&lt;=12,Assumptions!$C$12*B11/12,IF(B11&lt;=24,Assumptions!$C$12+(Assumptions!$D$12-Assumptions!$C$12)*(B11-12)/12,Assumptions!$D$12+(Assumptions!$E$12-Assumptions!$D$12)*(B11-24)/12))</f>
        <v>175</v>
      </c>
      <c r="E11" s="30" t="n">
        <f aca="false">IF(B11&lt;=12,Assumptions!$C$13*B11/12,IF(B11&lt;=24,Assumptions!$C$13+(Assumptions!$D$13-Assumptions!$C$13)*(B11-12)/12,Assumptions!$D$13+(Assumptions!$E$13-Assumptions!$D$13)*(B11-24)/12))</f>
        <v>58.3333333333333</v>
      </c>
      <c r="F11" s="31" t="n">
        <f aca="false">D11+E11</f>
        <v>233.333333333333</v>
      </c>
      <c r="G11" s="32" t="n">
        <f aca="false">D11*Assumptions!$C$6</f>
        <v>87325</v>
      </c>
      <c r="H11" s="32" t="n">
        <f aca="false">E11*Assumptions!$C$7</f>
        <v>87441.6666666667</v>
      </c>
      <c r="I11" s="20" t="n">
        <f aca="false">G11+H11</f>
        <v>174766.666666667</v>
      </c>
      <c r="J11" s="32" t="n">
        <f aca="false">I11*Assumptions!$C$18</f>
        <v>0</v>
      </c>
      <c r="K11" s="20" t="n">
        <f aca="false">I11+J11</f>
        <v>174766.666666667</v>
      </c>
    </row>
    <row r="12" customFormat="false" ht="15" hidden="false" customHeight="false" outlineLevel="0" collapsed="false">
      <c r="B12" s="33" t="n">
        <v>8</v>
      </c>
      <c r="C12" s="33" t="s">
        <v>122</v>
      </c>
      <c r="D12" s="34" t="n">
        <f aca="false">IF(B12&lt;=12,Assumptions!$C$12*B12/12,IF(B12&lt;=24,Assumptions!$C$12+(Assumptions!$D$12-Assumptions!$C$12)*(B12-12)/12,Assumptions!$D$12+(Assumptions!$E$12-Assumptions!$D$12)*(B12-24)/12))</f>
        <v>200</v>
      </c>
      <c r="E12" s="34" t="n">
        <f aca="false">IF(B12&lt;=12,Assumptions!$C$13*B12/12,IF(B12&lt;=24,Assumptions!$C$13+(Assumptions!$D$13-Assumptions!$C$13)*(B12-12)/12,Assumptions!$D$13+(Assumptions!$E$13-Assumptions!$D$13)*(B12-24)/12))</f>
        <v>66.6666666666667</v>
      </c>
      <c r="F12" s="35" t="n">
        <f aca="false">D12+E12</f>
        <v>266.666666666667</v>
      </c>
      <c r="G12" s="36" t="n">
        <f aca="false">D12*Assumptions!$C$6</f>
        <v>99800</v>
      </c>
      <c r="H12" s="36" t="n">
        <f aca="false">E12*Assumptions!$C$7</f>
        <v>99933.3333333333</v>
      </c>
      <c r="I12" s="37" t="n">
        <f aca="false">G12+H12</f>
        <v>199733.333333333</v>
      </c>
      <c r="J12" s="36" t="n">
        <f aca="false">I12*Assumptions!$C$18</f>
        <v>0</v>
      </c>
      <c r="K12" s="37" t="n">
        <f aca="false">I12+J12</f>
        <v>199733.333333333</v>
      </c>
    </row>
    <row r="13" customFormat="false" ht="15" hidden="false" customHeight="false" outlineLevel="0" collapsed="false">
      <c r="B13" s="29" t="n">
        <v>9</v>
      </c>
      <c r="C13" s="29" t="s">
        <v>122</v>
      </c>
      <c r="D13" s="30" t="n">
        <f aca="false">IF(B13&lt;=12,Assumptions!$C$12*B13/12,IF(B13&lt;=24,Assumptions!$C$12+(Assumptions!$D$12-Assumptions!$C$12)*(B13-12)/12,Assumptions!$D$12+(Assumptions!$E$12-Assumptions!$D$12)*(B13-24)/12))</f>
        <v>225</v>
      </c>
      <c r="E13" s="30" t="n">
        <f aca="false">IF(B13&lt;=12,Assumptions!$C$13*B13/12,IF(B13&lt;=24,Assumptions!$C$13+(Assumptions!$D$13-Assumptions!$C$13)*(B13-12)/12,Assumptions!$D$13+(Assumptions!$E$13-Assumptions!$D$13)*(B13-24)/12))</f>
        <v>75</v>
      </c>
      <c r="F13" s="31" t="n">
        <f aca="false">D13+E13</f>
        <v>300</v>
      </c>
      <c r="G13" s="32" t="n">
        <f aca="false">D13*Assumptions!$C$6</f>
        <v>112275</v>
      </c>
      <c r="H13" s="32" t="n">
        <f aca="false">E13*Assumptions!$C$7</f>
        <v>112425</v>
      </c>
      <c r="I13" s="20" t="n">
        <f aca="false">G13+H13</f>
        <v>224700</v>
      </c>
      <c r="J13" s="32" t="n">
        <f aca="false">I13*Assumptions!$C$18</f>
        <v>0</v>
      </c>
      <c r="K13" s="20" t="n">
        <f aca="false">I13+J13</f>
        <v>224700</v>
      </c>
    </row>
    <row r="14" customFormat="false" ht="15" hidden="false" customHeight="false" outlineLevel="0" collapsed="false">
      <c r="B14" s="33" t="n">
        <v>10</v>
      </c>
      <c r="C14" s="33" t="s">
        <v>122</v>
      </c>
      <c r="D14" s="34" t="n">
        <f aca="false">IF(B14&lt;=12,Assumptions!$C$12*B14/12,IF(B14&lt;=24,Assumptions!$C$12+(Assumptions!$D$12-Assumptions!$C$12)*(B14-12)/12,Assumptions!$D$12+(Assumptions!$E$12-Assumptions!$D$12)*(B14-24)/12))</f>
        <v>250</v>
      </c>
      <c r="E14" s="34" t="n">
        <f aca="false">IF(B14&lt;=12,Assumptions!$C$13*B14/12,IF(B14&lt;=24,Assumptions!$C$13+(Assumptions!$D$13-Assumptions!$C$13)*(B14-12)/12,Assumptions!$D$13+(Assumptions!$E$13-Assumptions!$D$13)*(B14-24)/12))</f>
        <v>83.3333333333333</v>
      </c>
      <c r="F14" s="35" t="n">
        <f aca="false">D14+E14</f>
        <v>333.333333333333</v>
      </c>
      <c r="G14" s="36" t="n">
        <f aca="false">D14*Assumptions!$C$6</f>
        <v>124750</v>
      </c>
      <c r="H14" s="36" t="n">
        <f aca="false">E14*Assumptions!$C$7</f>
        <v>124916.666666667</v>
      </c>
      <c r="I14" s="37" t="n">
        <f aca="false">G14+H14</f>
        <v>249666.666666667</v>
      </c>
      <c r="J14" s="36" t="n">
        <f aca="false">I14*Assumptions!$C$18</f>
        <v>0</v>
      </c>
      <c r="K14" s="37" t="n">
        <f aca="false">I14+J14</f>
        <v>249666.666666667</v>
      </c>
    </row>
    <row r="15" customFormat="false" ht="15" hidden="false" customHeight="false" outlineLevel="0" collapsed="false">
      <c r="B15" s="29" t="n">
        <v>11</v>
      </c>
      <c r="C15" s="29" t="s">
        <v>122</v>
      </c>
      <c r="D15" s="30" t="n">
        <f aca="false">IF(B15&lt;=12,Assumptions!$C$12*B15/12,IF(B15&lt;=24,Assumptions!$C$12+(Assumptions!$D$12-Assumptions!$C$12)*(B15-12)/12,Assumptions!$D$12+(Assumptions!$E$12-Assumptions!$D$12)*(B15-24)/12))</f>
        <v>275</v>
      </c>
      <c r="E15" s="30" t="n">
        <f aca="false">IF(B15&lt;=12,Assumptions!$C$13*B15/12,IF(B15&lt;=24,Assumptions!$C$13+(Assumptions!$D$13-Assumptions!$C$13)*(B15-12)/12,Assumptions!$D$13+(Assumptions!$E$13-Assumptions!$D$13)*(B15-24)/12))</f>
        <v>91.6666666666667</v>
      </c>
      <c r="F15" s="31" t="n">
        <f aca="false">D15+E15</f>
        <v>366.666666666667</v>
      </c>
      <c r="G15" s="32" t="n">
        <f aca="false">D15*Assumptions!$C$6</f>
        <v>137225</v>
      </c>
      <c r="H15" s="32" t="n">
        <f aca="false">E15*Assumptions!$C$7</f>
        <v>137408.333333333</v>
      </c>
      <c r="I15" s="20" t="n">
        <f aca="false">G15+H15</f>
        <v>274633.333333333</v>
      </c>
      <c r="J15" s="32" t="n">
        <f aca="false">I15*Assumptions!$C$18</f>
        <v>0</v>
      </c>
      <c r="K15" s="20" t="n">
        <f aca="false">I15+J15</f>
        <v>274633.333333333</v>
      </c>
    </row>
    <row r="16" customFormat="false" ht="15" hidden="false" customHeight="false" outlineLevel="0" collapsed="false">
      <c r="B16" s="33" t="n">
        <v>12</v>
      </c>
      <c r="C16" s="33" t="s">
        <v>122</v>
      </c>
      <c r="D16" s="34" t="n">
        <f aca="false">IF(B16&lt;=12,Assumptions!$C$12*B16/12,IF(B16&lt;=24,Assumptions!$C$12+(Assumptions!$D$12-Assumptions!$C$12)*(B16-12)/12,Assumptions!$D$12+(Assumptions!$E$12-Assumptions!$D$12)*(B16-24)/12))</f>
        <v>300</v>
      </c>
      <c r="E16" s="34" t="n">
        <f aca="false">IF(B16&lt;=12,Assumptions!$C$13*B16/12,IF(B16&lt;=24,Assumptions!$C$13+(Assumptions!$D$13-Assumptions!$C$13)*(B16-12)/12,Assumptions!$D$13+(Assumptions!$E$13-Assumptions!$D$13)*(B16-24)/12))</f>
        <v>100</v>
      </c>
      <c r="F16" s="35" t="n">
        <f aca="false">D16+E16</f>
        <v>400</v>
      </c>
      <c r="G16" s="36" t="n">
        <f aca="false">D16*Assumptions!$C$6</f>
        <v>149700</v>
      </c>
      <c r="H16" s="36" t="n">
        <f aca="false">E16*Assumptions!$C$7</f>
        <v>149900</v>
      </c>
      <c r="I16" s="37" t="n">
        <f aca="false">G16+H16</f>
        <v>299600</v>
      </c>
      <c r="J16" s="36" t="n">
        <f aca="false">I16*Assumptions!$C$18</f>
        <v>0</v>
      </c>
      <c r="K16" s="37" t="n">
        <f aca="false">I16+J16</f>
        <v>299600</v>
      </c>
    </row>
    <row r="17" customFormat="false" ht="15" hidden="false" customHeight="false" outlineLevel="0" collapsed="false">
      <c r="B17" s="29" t="n">
        <v>13</v>
      </c>
      <c r="C17" s="29" t="s">
        <v>123</v>
      </c>
      <c r="D17" s="30" t="n">
        <f aca="false">IF(B17&lt;=12,Assumptions!$C$12*B17/12,IF(B17&lt;=24,Assumptions!$C$12+(Assumptions!$D$12-Assumptions!$C$12)*(B17-12)/12,Assumptions!$D$12+(Assumptions!$E$12-Assumptions!$D$12)*(B17-24)/12))</f>
        <v>348.333333333333</v>
      </c>
      <c r="E17" s="30" t="n">
        <f aca="false">IF(B17&lt;=12,Assumptions!$C$13*B17/12,IF(B17&lt;=24,Assumptions!$C$13+(Assumptions!$D$13-Assumptions!$C$13)*(B17-12)/12,Assumptions!$D$13+(Assumptions!$E$13-Assumptions!$D$13)*(B17-24)/12))</f>
        <v>151.666666666667</v>
      </c>
      <c r="F17" s="31" t="n">
        <f aca="false">D17+E17</f>
        <v>500</v>
      </c>
      <c r="G17" s="32" t="n">
        <f aca="false">D17*Assumptions!$C$6</f>
        <v>173818.333333333</v>
      </c>
      <c r="H17" s="32" t="n">
        <f aca="false">E17*Assumptions!$C$7</f>
        <v>227348.333333333</v>
      </c>
      <c r="I17" s="20" t="n">
        <f aca="false">G17+H17</f>
        <v>401166.666666667</v>
      </c>
      <c r="J17" s="32" t="n">
        <f aca="false">I17*Assumptions!$D$18</f>
        <v>20058.3333333333</v>
      </c>
      <c r="K17" s="20" t="n">
        <f aca="false">I17+J17</f>
        <v>421225</v>
      </c>
    </row>
    <row r="18" customFormat="false" ht="15" hidden="false" customHeight="false" outlineLevel="0" collapsed="false">
      <c r="B18" s="33" t="n">
        <v>14</v>
      </c>
      <c r="C18" s="33" t="s">
        <v>123</v>
      </c>
      <c r="D18" s="34" t="n">
        <f aca="false">IF(B18&lt;=12,Assumptions!$C$12*B18/12,IF(B18&lt;=24,Assumptions!$C$12+(Assumptions!$D$12-Assumptions!$C$12)*(B18-12)/12,Assumptions!$D$12+(Assumptions!$E$12-Assumptions!$D$12)*(B18-24)/12))</f>
        <v>396.666666666667</v>
      </c>
      <c r="E18" s="34" t="n">
        <f aca="false">IF(B18&lt;=12,Assumptions!$C$13*B18/12,IF(B18&lt;=24,Assumptions!$C$13+(Assumptions!$D$13-Assumptions!$C$13)*(B18-12)/12,Assumptions!$D$13+(Assumptions!$E$13-Assumptions!$D$13)*(B18-24)/12))</f>
        <v>203.333333333333</v>
      </c>
      <c r="F18" s="35" t="n">
        <f aca="false">D18+E18</f>
        <v>600</v>
      </c>
      <c r="G18" s="36" t="n">
        <f aca="false">D18*Assumptions!$C$6</f>
        <v>197936.666666667</v>
      </c>
      <c r="H18" s="36" t="n">
        <f aca="false">E18*Assumptions!$C$7</f>
        <v>304796.666666667</v>
      </c>
      <c r="I18" s="37" t="n">
        <f aca="false">G18+H18</f>
        <v>502733.333333333</v>
      </c>
      <c r="J18" s="36" t="n">
        <f aca="false">I18*Assumptions!$D$18</f>
        <v>25136.6666666667</v>
      </c>
      <c r="K18" s="37" t="n">
        <f aca="false">I18+J18</f>
        <v>527870</v>
      </c>
    </row>
    <row r="19" customFormat="false" ht="15" hidden="false" customHeight="false" outlineLevel="0" collapsed="false">
      <c r="B19" s="29" t="n">
        <v>15</v>
      </c>
      <c r="C19" s="29" t="s">
        <v>123</v>
      </c>
      <c r="D19" s="30" t="n">
        <f aca="false">IF(B19&lt;=12,Assumptions!$C$12*B19/12,IF(B19&lt;=24,Assumptions!$C$12+(Assumptions!$D$12-Assumptions!$C$12)*(B19-12)/12,Assumptions!$D$12+(Assumptions!$E$12-Assumptions!$D$12)*(B19-24)/12))</f>
        <v>445</v>
      </c>
      <c r="E19" s="30" t="n">
        <f aca="false">IF(B19&lt;=12,Assumptions!$C$13*B19/12,IF(B19&lt;=24,Assumptions!$C$13+(Assumptions!$D$13-Assumptions!$C$13)*(B19-12)/12,Assumptions!$D$13+(Assumptions!$E$13-Assumptions!$D$13)*(B19-24)/12))</f>
        <v>255</v>
      </c>
      <c r="F19" s="31" t="n">
        <f aca="false">D19+E19</f>
        <v>700</v>
      </c>
      <c r="G19" s="32" t="n">
        <f aca="false">D19*Assumptions!$C$6</f>
        <v>222055</v>
      </c>
      <c r="H19" s="32" t="n">
        <f aca="false">E19*Assumptions!$C$7</f>
        <v>382245</v>
      </c>
      <c r="I19" s="20" t="n">
        <f aca="false">G19+H19</f>
        <v>604300</v>
      </c>
      <c r="J19" s="32" t="n">
        <f aca="false">I19*Assumptions!$D$18</f>
        <v>30215</v>
      </c>
      <c r="K19" s="20" t="n">
        <f aca="false">I19+J19</f>
        <v>634515</v>
      </c>
    </row>
    <row r="20" customFormat="false" ht="15" hidden="false" customHeight="false" outlineLevel="0" collapsed="false">
      <c r="B20" s="33" t="n">
        <v>16</v>
      </c>
      <c r="C20" s="33" t="s">
        <v>123</v>
      </c>
      <c r="D20" s="34" t="n">
        <f aca="false">IF(B20&lt;=12,Assumptions!$C$12*B20/12,IF(B20&lt;=24,Assumptions!$C$12+(Assumptions!$D$12-Assumptions!$C$12)*(B20-12)/12,Assumptions!$D$12+(Assumptions!$E$12-Assumptions!$D$12)*(B20-24)/12))</f>
        <v>493.333333333333</v>
      </c>
      <c r="E20" s="34" t="n">
        <f aca="false">IF(B20&lt;=12,Assumptions!$C$13*B20/12,IF(B20&lt;=24,Assumptions!$C$13+(Assumptions!$D$13-Assumptions!$C$13)*(B20-12)/12,Assumptions!$D$13+(Assumptions!$E$13-Assumptions!$D$13)*(B20-24)/12))</f>
        <v>306.666666666667</v>
      </c>
      <c r="F20" s="35" t="n">
        <f aca="false">D20+E20</f>
        <v>800</v>
      </c>
      <c r="G20" s="36" t="n">
        <f aca="false">D20*Assumptions!$C$6</f>
        <v>246173.333333333</v>
      </c>
      <c r="H20" s="36" t="n">
        <f aca="false">E20*Assumptions!$C$7</f>
        <v>459693.333333333</v>
      </c>
      <c r="I20" s="37" t="n">
        <f aca="false">G20+H20</f>
        <v>705866.666666667</v>
      </c>
      <c r="J20" s="36" t="n">
        <f aca="false">I20*Assumptions!$D$18</f>
        <v>35293.3333333333</v>
      </c>
      <c r="K20" s="37" t="n">
        <f aca="false">I20+J20</f>
        <v>741160</v>
      </c>
    </row>
    <row r="21" customFormat="false" ht="15" hidden="false" customHeight="false" outlineLevel="0" collapsed="false">
      <c r="B21" s="29" t="n">
        <v>17</v>
      </c>
      <c r="C21" s="29" t="s">
        <v>123</v>
      </c>
      <c r="D21" s="30" t="n">
        <f aca="false">IF(B21&lt;=12,Assumptions!$C$12*B21/12,IF(B21&lt;=24,Assumptions!$C$12+(Assumptions!$D$12-Assumptions!$C$12)*(B21-12)/12,Assumptions!$D$12+(Assumptions!$E$12-Assumptions!$D$12)*(B21-24)/12))</f>
        <v>541.666666666667</v>
      </c>
      <c r="E21" s="30" t="n">
        <f aca="false">IF(B21&lt;=12,Assumptions!$C$13*B21/12,IF(B21&lt;=24,Assumptions!$C$13+(Assumptions!$D$13-Assumptions!$C$13)*(B21-12)/12,Assumptions!$D$13+(Assumptions!$E$13-Assumptions!$D$13)*(B21-24)/12))</f>
        <v>358.333333333333</v>
      </c>
      <c r="F21" s="31" t="n">
        <f aca="false">D21+E21</f>
        <v>900</v>
      </c>
      <c r="G21" s="32" t="n">
        <f aca="false">D21*Assumptions!$C$6</f>
        <v>270291.666666667</v>
      </c>
      <c r="H21" s="32" t="n">
        <f aca="false">E21*Assumptions!$C$7</f>
        <v>537141.666666667</v>
      </c>
      <c r="I21" s="20" t="n">
        <f aca="false">G21+H21</f>
        <v>807433.333333333</v>
      </c>
      <c r="J21" s="32" t="n">
        <f aca="false">I21*Assumptions!$D$18</f>
        <v>40371.6666666667</v>
      </c>
      <c r="K21" s="20" t="n">
        <f aca="false">I21+J21</f>
        <v>847805</v>
      </c>
    </row>
    <row r="22" customFormat="false" ht="15" hidden="false" customHeight="false" outlineLevel="0" collapsed="false">
      <c r="B22" s="33" t="n">
        <v>18</v>
      </c>
      <c r="C22" s="33" t="s">
        <v>123</v>
      </c>
      <c r="D22" s="34" t="n">
        <f aca="false">IF(B22&lt;=12,Assumptions!$C$12*B22/12,IF(B22&lt;=24,Assumptions!$C$12+(Assumptions!$D$12-Assumptions!$C$12)*(B22-12)/12,Assumptions!$D$12+(Assumptions!$E$12-Assumptions!$D$12)*(B22-24)/12))</f>
        <v>590</v>
      </c>
      <c r="E22" s="34" t="n">
        <f aca="false">IF(B22&lt;=12,Assumptions!$C$13*B22/12,IF(B22&lt;=24,Assumptions!$C$13+(Assumptions!$D$13-Assumptions!$C$13)*(B22-12)/12,Assumptions!$D$13+(Assumptions!$E$13-Assumptions!$D$13)*(B22-24)/12))</f>
        <v>410</v>
      </c>
      <c r="F22" s="35" t="n">
        <f aca="false">D22+E22</f>
        <v>1000</v>
      </c>
      <c r="G22" s="36" t="n">
        <f aca="false">D22*Assumptions!$C$6</f>
        <v>294410</v>
      </c>
      <c r="H22" s="36" t="n">
        <f aca="false">E22*Assumptions!$C$7</f>
        <v>614590</v>
      </c>
      <c r="I22" s="37" t="n">
        <f aca="false">G22+H22</f>
        <v>909000</v>
      </c>
      <c r="J22" s="36" t="n">
        <f aca="false">I22*Assumptions!$D$18</f>
        <v>45450</v>
      </c>
      <c r="K22" s="37" t="n">
        <f aca="false">I22+J22</f>
        <v>954450</v>
      </c>
    </row>
    <row r="23" customFormat="false" ht="15" hidden="false" customHeight="false" outlineLevel="0" collapsed="false">
      <c r="B23" s="29" t="n">
        <v>19</v>
      </c>
      <c r="C23" s="29" t="s">
        <v>123</v>
      </c>
      <c r="D23" s="30" t="n">
        <f aca="false">IF(B23&lt;=12,Assumptions!$C$12*B23/12,IF(B23&lt;=24,Assumptions!$C$12+(Assumptions!$D$12-Assumptions!$C$12)*(B23-12)/12,Assumptions!$D$12+(Assumptions!$E$12-Assumptions!$D$12)*(B23-24)/12))</f>
        <v>638.333333333333</v>
      </c>
      <c r="E23" s="30" t="n">
        <f aca="false">IF(B23&lt;=12,Assumptions!$C$13*B23/12,IF(B23&lt;=24,Assumptions!$C$13+(Assumptions!$D$13-Assumptions!$C$13)*(B23-12)/12,Assumptions!$D$13+(Assumptions!$E$13-Assumptions!$D$13)*(B23-24)/12))</f>
        <v>461.666666666667</v>
      </c>
      <c r="F23" s="31" t="n">
        <f aca="false">D23+E23</f>
        <v>1100</v>
      </c>
      <c r="G23" s="32" t="n">
        <f aca="false">D23*Assumptions!$C$6</f>
        <v>318528.333333333</v>
      </c>
      <c r="H23" s="32" t="n">
        <f aca="false">E23*Assumptions!$C$7</f>
        <v>692038.333333333</v>
      </c>
      <c r="I23" s="20" t="n">
        <f aca="false">G23+H23</f>
        <v>1010566.66666667</v>
      </c>
      <c r="J23" s="32" t="n">
        <f aca="false">I23*Assumptions!$D$18</f>
        <v>50528.3333333333</v>
      </c>
      <c r="K23" s="20" t="n">
        <f aca="false">I23+J23</f>
        <v>1061095</v>
      </c>
    </row>
    <row r="24" customFormat="false" ht="15" hidden="false" customHeight="false" outlineLevel="0" collapsed="false">
      <c r="B24" s="33" t="n">
        <v>20</v>
      </c>
      <c r="C24" s="33" t="s">
        <v>123</v>
      </c>
      <c r="D24" s="34" t="n">
        <f aca="false">IF(B24&lt;=12,Assumptions!$C$12*B24/12,IF(B24&lt;=24,Assumptions!$C$12+(Assumptions!$D$12-Assumptions!$C$12)*(B24-12)/12,Assumptions!$D$12+(Assumptions!$E$12-Assumptions!$D$12)*(B24-24)/12))</f>
        <v>686.666666666667</v>
      </c>
      <c r="E24" s="34" t="n">
        <f aca="false">IF(B24&lt;=12,Assumptions!$C$13*B24/12,IF(B24&lt;=24,Assumptions!$C$13+(Assumptions!$D$13-Assumptions!$C$13)*(B24-12)/12,Assumptions!$D$13+(Assumptions!$E$13-Assumptions!$D$13)*(B24-24)/12))</f>
        <v>513.333333333333</v>
      </c>
      <c r="F24" s="35" t="n">
        <f aca="false">D24+E24</f>
        <v>1200</v>
      </c>
      <c r="G24" s="36" t="n">
        <f aca="false">D24*Assumptions!$C$6</f>
        <v>342646.666666667</v>
      </c>
      <c r="H24" s="36" t="n">
        <f aca="false">E24*Assumptions!$C$7</f>
        <v>769486.666666667</v>
      </c>
      <c r="I24" s="37" t="n">
        <f aca="false">G24+H24</f>
        <v>1112133.33333333</v>
      </c>
      <c r="J24" s="36" t="n">
        <f aca="false">I24*Assumptions!$D$18</f>
        <v>55606.6666666667</v>
      </c>
      <c r="K24" s="37" t="n">
        <f aca="false">I24+J24</f>
        <v>1167740</v>
      </c>
    </row>
    <row r="25" customFormat="false" ht="15" hidden="false" customHeight="false" outlineLevel="0" collapsed="false">
      <c r="B25" s="29" t="n">
        <v>21</v>
      </c>
      <c r="C25" s="29" t="s">
        <v>123</v>
      </c>
      <c r="D25" s="30" t="n">
        <f aca="false">IF(B25&lt;=12,Assumptions!$C$12*B25/12,IF(B25&lt;=24,Assumptions!$C$12+(Assumptions!$D$12-Assumptions!$C$12)*(B25-12)/12,Assumptions!$D$12+(Assumptions!$E$12-Assumptions!$D$12)*(B25-24)/12))</f>
        <v>735</v>
      </c>
      <c r="E25" s="30" t="n">
        <f aca="false">IF(B25&lt;=12,Assumptions!$C$13*B25/12,IF(B25&lt;=24,Assumptions!$C$13+(Assumptions!$D$13-Assumptions!$C$13)*(B25-12)/12,Assumptions!$D$13+(Assumptions!$E$13-Assumptions!$D$13)*(B25-24)/12))</f>
        <v>565</v>
      </c>
      <c r="F25" s="31" t="n">
        <f aca="false">D25+E25</f>
        <v>1300</v>
      </c>
      <c r="G25" s="32" t="n">
        <f aca="false">D25*Assumptions!$C$6</f>
        <v>366765</v>
      </c>
      <c r="H25" s="32" t="n">
        <f aca="false">E25*Assumptions!$C$7</f>
        <v>846935</v>
      </c>
      <c r="I25" s="20" t="n">
        <f aca="false">G25+H25</f>
        <v>1213700</v>
      </c>
      <c r="J25" s="32" t="n">
        <f aca="false">I25*Assumptions!$D$18</f>
        <v>60685</v>
      </c>
      <c r="K25" s="20" t="n">
        <f aca="false">I25+J25</f>
        <v>1274385</v>
      </c>
    </row>
    <row r="26" customFormat="false" ht="15" hidden="false" customHeight="false" outlineLevel="0" collapsed="false">
      <c r="B26" s="33" t="n">
        <v>22</v>
      </c>
      <c r="C26" s="33" t="s">
        <v>123</v>
      </c>
      <c r="D26" s="34" t="n">
        <f aca="false">IF(B26&lt;=12,Assumptions!$C$12*B26/12,IF(B26&lt;=24,Assumptions!$C$12+(Assumptions!$D$12-Assumptions!$C$12)*(B26-12)/12,Assumptions!$D$12+(Assumptions!$E$12-Assumptions!$D$12)*(B26-24)/12))</f>
        <v>783.333333333333</v>
      </c>
      <c r="E26" s="34" t="n">
        <f aca="false">IF(B26&lt;=12,Assumptions!$C$13*B26/12,IF(B26&lt;=24,Assumptions!$C$13+(Assumptions!$D$13-Assumptions!$C$13)*(B26-12)/12,Assumptions!$D$13+(Assumptions!$E$13-Assumptions!$D$13)*(B26-24)/12))</f>
        <v>616.666666666667</v>
      </c>
      <c r="F26" s="35" t="n">
        <f aca="false">D26+E26</f>
        <v>1400</v>
      </c>
      <c r="G26" s="36" t="n">
        <f aca="false">D26*Assumptions!$C$6</f>
        <v>390883.333333333</v>
      </c>
      <c r="H26" s="36" t="n">
        <f aca="false">E26*Assumptions!$C$7</f>
        <v>924383.333333333</v>
      </c>
      <c r="I26" s="37" t="n">
        <f aca="false">G26+H26</f>
        <v>1315266.66666667</v>
      </c>
      <c r="J26" s="36" t="n">
        <f aca="false">I26*Assumptions!$D$18</f>
        <v>65763.3333333333</v>
      </c>
      <c r="K26" s="37" t="n">
        <f aca="false">I26+J26</f>
        <v>1381030</v>
      </c>
    </row>
    <row r="27" customFormat="false" ht="15" hidden="false" customHeight="false" outlineLevel="0" collapsed="false">
      <c r="B27" s="29" t="n">
        <v>23</v>
      </c>
      <c r="C27" s="29" t="s">
        <v>123</v>
      </c>
      <c r="D27" s="30" t="n">
        <f aca="false">IF(B27&lt;=12,Assumptions!$C$12*B27/12,IF(B27&lt;=24,Assumptions!$C$12+(Assumptions!$D$12-Assumptions!$C$12)*(B27-12)/12,Assumptions!$D$12+(Assumptions!$E$12-Assumptions!$D$12)*(B27-24)/12))</f>
        <v>831.666666666667</v>
      </c>
      <c r="E27" s="30" t="n">
        <f aca="false">IF(B27&lt;=12,Assumptions!$C$13*B27/12,IF(B27&lt;=24,Assumptions!$C$13+(Assumptions!$D$13-Assumptions!$C$13)*(B27-12)/12,Assumptions!$D$13+(Assumptions!$E$13-Assumptions!$D$13)*(B27-24)/12))</f>
        <v>668.333333333333</v>
      </c>
      <c r="F27" s="31" t="n">
        <f aca="false">D27+E27</f>
        <v>1500</v>
      </c>
      <c r="G27" s="32" t="n">
        <f aca="false">D27*Assumptions!$C$6</f>
        <v>415001.666666667</v>
      </c>
      <c r="H27" s="32" t="n">
        <f aca="false">E27*Assumptions!$C$7</f>
        <v>1001831.66666667</v>
      </c>
      <c r="I27" s="20" t="n">
        <f aca="false">G27+H27</f>
        <v>1416833.33333333</v>
      </c>
      <c r="J27" s="32" t="n">
        <f aca="false">I27*Assumptions!$D$18</f>
        <v>70841.6666666667</v>
      </c>
      <c r="K27" s="20" t="n">
        <f aca="false">I27+J27</f>
        <v>1487675</v>
      </c>
    </row>
    <row r="28" customFormat="false" ht="15" hidden="false" customHeight="false" outlineLevel="0" collapsed="false">
      <c r="B28" s="33" t="n">
        <v>24</v>
      </c>
      <c r="C28" s="33" t="s">
        <v>123</v>
      </c>
      <c r="D28" s="34" t="n">
        <f aca="false">IF(B28&lt;=12,Assumptions!$C$12*B28/12,IF(B28&lt;=24,Assumptions!$C$12+(Assumptions!$D$12-Assumptions!$C$12)*(B28-12)/12,Assumptions!$D$12+(Assumptions!$E$12-Assumptions!$D$12)*(B28-24)/12))</f>
        <v>880</v>
      </c>
      <c r="E28" s="34" t="n">
        <f aca="false">IF(B28&lt;=12,Assumptions!$C$13*B28/12,IF(B28&lt;=24,Assumptions!$C$13+(Assumptions!$D$13-Assumptions!$C$13)*(B28-12)/12,Assumptions!$D$13+(Assumptions!$E$13-Assumptions!$D$13)*(B28-24)/12))</f>
        <v>720</v>
      </c>
      <c r="F28" s="35" t="n">
        <f aca="false">D28+E28</f>
        <v>1600</v>
      </c>
      <c r="G28" s="36" t="n">
        <f aca="false">D28*Assumptions!$C$6</f>
        <v>439120</v>
      </c>
      <c r="H28" s="36" t="n">
        <f aca="false">E28*Assumptions!$C$7</f>
        <v>1079280</v>
      </c>
      <c r="I28" s="37" t="n">
        <f aca="false">G28+H28</f>
        <v>1518400</v>
      </c>
      <c r="J28" s="36" t="n">
        <f aca="false">I28*Assumptions!$D$18</f>
        <v>75920</v>
      </c>
      <c r="K28" s="37" t="n">
        <f aca="false">I28+J28</f>
        <v>1594320</v>
      </c>
    </row>
    <row r="29" customFormat="false" ht="15" hidden="false" customHeight="false" outlineLevel="0" collapsed="false">
      <c r="B29" s="29" t="n">
        <v>25</v>
      </c>
      <c r="C29" s="29" t="s">
        <v>124</v>
      </c>
      <c r="D29" s="30" t="n">
        <f aca="false">IF(B29&lt;=12,Assumptions!$C$12*B29/12,IF(B29&lt;=24,Assumptions!$C$12+(Assumptions!$D$12-Assumptions!$C$12)*(B29-12)/12,Assumptions!$D$12+(Assumptions!$E$12-Assumptions!$D$12)*(B29-24)/12))</f>
        <v>946.666666666667</v>
      </c>
      <c r="E29" s="30" t="n">
        <f aca="false">IF(B29&lt;=12,Assumptions!$C$13*B29/12,IF(B29&lt;=24,Assumptions!$C$13+(Assumptions!$D$13-Assumptions!$C$13)*(B29-12)/12,Assumptions!$D$13+(Assumptions!$E$13-Assumptions!$D$13)*(B29-24)/12))</f>
        <v>870</v>
      </c>
      <c r="F29" s="31" t="n">
        <f aca="false">D29+E29</f>
        <v>1816.66666666667</v>
      </c>
      <c r="G29" s="32" t="n">
        <f aca="false">D29*Assumptions!$C$6</f>
        <v>472386.666666667</v>
      </c>
      <c r="H29" s="32" t="n">
        <f aca="false">E29*Assumptions!$C$7</f>
        <v>1304130</v>
      </c>
      <c r="I29" s="20" t="n">
        <f aca="false">G29+H29</f>
        <v>1776516.66666667</v>
      </c>
      <c r="J29" s="32" t="n">
        <f aca="false">I29*Assumptions!$E$18</f>
        <v>177651.666666667</v>
      </c>
      <c r="K29" s="20" t="n">
        <f aca="false">I29+J29</f>
        <v>1954168.33333333</v>
      </c>
    </row>
    <row r="30" customFormat="false" ht="15" hidden="false" customHeight="false" outlineLevel="0" collapsed="false">
      <c r="B30" s="33" t="n">
        <v>26</v>
      </c>
      <c r="C30" s="33" t="s">
        <v>124</v>
      </c>
      <c r="D30" s="34" t="n">
        <f aca="false">IF(B30&lt;=12,Assumptions!$C$12*B30/12,IF(B30&lt;=24,Assumptions!$C$12+(Assumptions!$D$12-Assumptions!$C$12)*(B30-12)/12,Assumptions!$D$12+(Assumptions!$E$12-Assumptions!$D$12)*(B30-24)/12))</f>
        <v>1013.33333333333</v>
      </c>
      <c r="E30" s="34" t="n">
        <f aca="false">IF(B30&lt;=12,Assumptions!$C$13*B30/12,IF(B30&lt;=24,Assumptions!$C$13+(Assumptions!$D$13-Assumptions!$C$13)*(B30-12)/12,Assumptions!$D$13+(Assumptions!$E$13-Assumptions!$D$13)*(B30-24)/12))</f>
        <v>1020</v>
      </c>
      <c r="F30" s="35" t="n">
        <f aca="false">D30+E30</f>
        <v>2033.33333333333</v>
      </c>
      <c r="G30" s="36" t="n">
        <f aca="false">D30*Assumptions!$C$6</f>
        <v>505653.333333333</v>
      </c>
      <c r="H30" s="36" t="n">
        <f aca="false">E30*Assumptions!$C$7</f>
        <v>1528980</v>
      </c>
      <c r="I30" s="37" t="n">
        <f aca="false">G30+H30</f>
        <v>2034633.33333333</v>
      </c>
      <c r="J30" s="36" t="n">
        <f aca="false">I30*Assumptions!$E$18</f>
        <v>203463.333333333</v>
      </c>
      <c r="K30" s="37" t="n">
        <f aca="false">I30+J30</f>
        <v>2238096.66666667</v>
      </c>
    </row>
    <row r="31" customFormat="false" ht="15" hidden="false" customHeight="false" outlineLevel="0" collapsed="false">
      <c r="B31" s="29" t="n">
        <v>27</v>
      </c>
      <c r="C31" s="29" t="s">
        <v>124</v>
      </c>
      <c r="D31" s="30" t="n">
        <f aca="false">IF(B31&lt;=12,Assumptions!$C$12*B31/12,IF(B31&lt;=24,Assumptions!$C$12+(Assumptions!$D$12-Assumptions!$C$12)*(B31-12)/12,Assumptions!$D$12+(Assumptions!$E$12-Assumptions!$D$12)*(B31-24)/12))</f>
        <v>1080</v>
      </c>
      <c r="E31" s="30" t="n">
        <f aca="false">IF(B31&lt;=12,Assumptions!$C$13*B31/12,IF(B31&lt;=24,Assumptions!$C$13+(Assumptions!$D$13-Assumptions!$C$13)*(B31-12)/12,Assumptions!$D$13+(Assumptions!$E$13-Assumptions!$D$13)*(B31-24)/12))</f>
        <v>1170</v>
      </c>
      <c r="F31" s="31" t="n">
        <f aca="false">D31+E31</f>
        <v>2250</v>
      </c>
      <c r="G31" s="32" t="n">
        <f aca="false">D31*Assumptions!$C$6</f>
        <v>538920</v>
      </c>
      <c r="H31" s="32" t="n">
        <f aca="false">E31*Assumptions!$C$7</f>
        <v>1753830</v>
      </c>
      <c r="I31" s="20" t="n">
        <f aca="false">G31+H31</f>
        <v>2292750</v>
      </c>
      <c r="J31" s="32" t="n">
        <f aca="false">I31*Assumptions!$E$18</f>
        <v>229275</v>
      </c>
      <c r="K31" s="20" t="n">
        <f aca="false">I31+J31</f>
        <v>2522025</v>
      </c>
    </row>
    <row r="32" customFormat="false" ht="15" hidden="false" customHeight="false" outlineLevel="0" collapsed="false">
      <c r="B32" s="33" t="n">
        <v>28</v>
      </c>
      <c r="C32" s="33" t="s">
        <v>124</v>
      </c>
      <c r="D32" s="34" t="n">
        <f aca="false">IF(B32&lt;=12,Assumptions!$C$12*B32/12,IF(B32&lt;=24,Assumptions!$C$12+(Assumptions!$D$12-Assumptions!$C$12)*(B32-12)/12,Assumptions!$D$12+(Assumptions!$E$12-Assumptions!$D$12)*(B32-24)/12))</f>
        <v>1146.66666666667</v>
      </c>
      <c r="E32" s="34" t="n">
        <f aca="false">IF(B32&lt;=12,Assumptions!$C$13*B32/12,IF(B32&lt;=24,Assumptions!$C$13+(Assumptions!$D$13-Assumptions!$C$13)*(B32-12)/12,Assumptions!$D$13+(Assumptions!$E$13-Assumptions!$D$13)*(B32-24)/12))</f>
        <v>1320</v>
      </c>
      <c r="F32" s="35" t="n">
        <f aca="false">D32+E32</f>
        <v>2466.66666666667</v>
      </c>
      <c r="G32" s="36" t="n">
        <f aca="false">D32*Assumptions!$C$6</f>
        <v>572186.666666667</v>
      </c>
      <c r="H32" s="36" t="n">
        <f aca="false">E32*Assumptions!$C$7</f>
        <v>1978680</v>
      </c>
      <c r="I32" s="37" t="n">
        <f aca="false">G32+H32</f>
        <v>2550866.66666667</v>
      </c>
      <c r="J32" s="36" t="n">
        <f aca="false">I32*Assumptions!$E$18</f>
        <v>255086.666666667</v>
      </c>
      <c r="K32" s="37" t="n">
        <f aca="false">I32+J32</f>
        <v>2805953.33333333</v>
      </c>
    </row>
    <row r="33" customFormat="false" ht="15" hidden="false" customHeight="false" outlineLevel="0" collapsed="false">
      <c r="B33" s="29" t="n">
        <v>29</v>
      </c>
      <c r="C33" s="29" t="s">
        <v>124</v>
      </c>
      <c r="D33" s="30" t="n">
        <f aca="false">IF(B33&lt;=12,Assumptions!$C$12*B33/12,IF(B33&lt;=24,Assumptions!$C$12+(Assumptions!$D$12-Assumptions!$C$12)*(B33-12)/12,Assumptions!$D$12+(Assumptions!$E$12-Assumptions!$D$12)*(B33-24)/12))</f>
        <v>1213.33333333333</v>
      </c>
      <c r="E33" s="30" t="n">
        <f aca="false">IF(B33&lt;=12,Assumptions!$C$13*B33/12,IF(B33&lt;=24,Assumptions!$C$13+(Assumptions!$D$13-Assumptions!$C$13)*(B33-12)/12,Assumptions!$D$13+(Assumptions!$E$13-Assumptions!$D$13)*(B33-24)/12))</f>
        <v>1470</v>
      </c>
      <c r="F33" s="31" t="n">
        <f aca="false">D33+E33</f>
        <v>2683.33333333333</v>
      </c>
      <c r="G33" s="32" t="n">
        <f aca="false">D33*Assumptions!$C$6</f>
        <v>605453.333333333</v>
      </c>
      <c r="H33" s="32" t="n">
        <f aca="false">E33*Assumptions!$C$7</f>
        <v>2203530</v>
      </c>
      <c r="I33" s="20" t="n">
        <f aca="false">G33+H33</f>
        <v>2808983.33333333</v>
      </c>
      <c r="J33" s="32" t="n">
        <f aca="false">I33*Assumptions!$E$18</f>
        <v>280898.333333333</v>
      </c>
      <c r="K33" s="20" t="n">
        <f aca="false">I33+J33</f>
        <v>3089881.66666667</v>
      </c>
    </row>
    <row r="34" customFormat="false" ht="15" hidden="false" customHeight="false" outlineLevel="0" collapsed="false">
      <c r="B34" s="33" t="n">
        <v>30</v>
      </c>
      <c r="C34" s="33" t="s">
        <v>124</v>
      </c>
      <c r="D34" s="34" t="n">
        <f aca="false">IF(B34&lt;=12,Assumptions!$C$12*B34/12,IF(B34&lt;=24,Assumptions!$C$12+(Assumptions!$D$12-Assumptions!$C$12)*(B34-12)/12,Assumptions!$D$12+(Assumptions!$E$12-Assumptions!$D$12)*(B34-24)/12))</f>
        <v>1280</v>
      </c>
      <c r="E34" s="34" t="n">
        <f aca="false">IF(B34&lt;=12,Assumptions!$C$13*B34/12,IF(B34&lt;=24,Assumptions!$C$13+(Assumptions!$D$13-Assumptions!$C$13)*(B34-12)/12,Assumptions!$D$13+(Assumptions!$E$13-Assumptions!$D$13)*(B34-24)/12))</f>
        <v>1620</v>
      </c>
      <c r="F34" s="35" t="n">
        <f aca="false">D34+E34</f>
        <v>2900</v>
      </c>
      <c r="G34" s="36" t="n">
        <f aca="false">D34*Assumptions!$C$6</f>
        <v>638720</v>
      </c>
      <c r="H34" s="36" t="n">
        <f aca="false">E34*Assumptions!$C$7</f>
        <v>2428380</v>
      </c>
      <c r="I34" s="37" t="n">
        <f aca="false">G34+H34</f>
        <v>3067100</v>
      </c>
      <c r="J34" s="36" t="n">
        <f aca="false">I34*Assumptions!$E$18</f>
        <v>306710</v>
      </c>
      <c r="K34" s="37" t="n">
        <f aca="false">I34+J34</f>
        <v>3373810</v>
      </c>
    </row>
    <row r="35" customFormat="false" ht="15" hidden="false" customHeight="false" outlineLevel="0" collapsed="false">
      <c r="B35" s="29" t="n">
        <v>31</v>
      </c>
      <c r="C35" s="29" t="s">
        <v>124</v>
      </c>
      <c r="D35" s="30" t="n">
        <f aca="false">IF(B35&lt;=12,Assumptions!$C$12*B35/12,IF(B35&lt;=24,Assumptions!$C$12+(Assumptions!$D$12-Assumptions!$C$12)*(B35-12)/12,Assumptions!$D$12+(Assumptions!$E$12-Assumptions!$D$12)*(B35-24)/12))</f>
        <v>1346.66666666667</v>
      </c>
      <c r="E35" s="30" t="n">
        <f aca="false">IF(B35&lt;=12,Assumptions!$C$13*B35/12,IF(B35&lt;=24,Assumptions!$C$13+(Assumptions!$D$13-Assumptions!$C$13)*(B35-12)/12,Assumptions!$D$13+(Assumptions!$E$13-Assumptions!$D$13)*(B35-24)/12))</f>
        <v>1770</v>
      </c>
      <c r="F35" s="31" t="n">
        <f aca="false">D35+E35</f>
        <v>3116.66666666667</v>
      </c>
      <c r="G35" s="32" t="n">
        <f aca="false">D35*Assumptions!$C$6</f>
        <v>671986.666666667</v>
      </c>
      <c r="H35" s="32" t="n">
        <f aca="false">E35*Assumptions!$C$7</f>
        <v>2653230</v>
      </c>
      <c r="I35" s="20" t="n">
        <f aca="false">G35+H35</f>
        <v>3325216.66666667</v>
      </c>
      <c r="J35" s="32" t="n">
        <f aca="false">I35*Assumptions!$E$18</f>
        <v>332521.666666667</v>
      </c>
      <c r="K35" s="20" t="n">
        <f aca="false">I35+J35</f>
        <v>3657738.33333333</v>
      </c>
    </row>
    <row r="36" customFormat="false" ht="15" hidden="false" customHeight="false" outlineLevel="0" collapsed="false">
      <c r="B36" s="33" t="n">
        <v>32</v>
      </c>
      <c r="C36" s="33" t="s">
        <v>124</v>
      </c>
      <c r="D36" s="34" t="n">
        <f aca="false">IF(B36&lt;=12,Assumptions!$C$12*B36/12,IF(B36&lt;=24,Assumptions!$C$12+(Assumptions!$D$12-Assumptions!$C$12)*(B36-12)/12,Assumptions!$D$12+(Assumptions!$E$12-Assumptions!$D$12)*(B36-24)/12))</f>
        <v>1413.33333333333</v>
      </c>
      <c r="E36" s="34" t="n">
        <f aca="false">IF(B36&lt;=12,Assumptions!$C$13*B36/12,IF(B36&lt;=24,Assumptions!$C$13+(Assumptions!$D$13-Assumptions!$C$13)*(B36-12)/12,Assumptions!$D$13+(Assumptions!$E$13-Assumptions!$D$13)*(B36-24)/12))</f>
        <v>1920</v>
      </c>
      <c r="F36" s="35" t="n">
        <f aca="false">D36+E36</f>
        <v>3333.33333333333</v>
      </c>
      <c r="G36" s="36" t="n">
        <f aca="false">D36*Assumptions!$C$6</f>
        <v>705253.333333333</v>
      </c>
      <c r="H36" s="36" t="n">
        <f aca="false">E36*Assumptions!$C$7</f>
        <v>2878080</v>
      </c>
      <c r="I36" s="37" t="n">
        <f aca="false">G36+H36</f>
        <v>3583333.33333333</v>
      </c>
      <c r="J36" s="36" t="n">
        <f aca="false">I36*Assumptions!$E$18</f>
        <v>358333.333333333</v>
      </c>
      <c r="K36" s="37" t="n">
        <f aca="false">I36+J36</f>
        <v>3941666.66666667</v>
      </c>
    </row>
    <row r="37" customFormat="false" ht="15" hidden="false" customHeight="false" outlineLevel="0" collapsed="false">
      <c r="B37" s="29" t="n">
        <v>33</v>
      </c>
      <c r="C37" s="29" t="s">
        <v>124</v>
      </c>
      <c r="D37" s="30" t="n">
        <f aca="false">IF(B37&lt;=12,Assumptions!$C$12*B37/12,IF(B37&lt;=24,Assumptions!$C$12+(Assumptions!$D$12-Assumptions!$C$12)*(B37-12)/12,Assumptions!$D$12+(Assumptions!$E$12-Assumptions!$D$12)*(B37-24)/12))</f>
        <v>1480</v>
      </c>
      <c r="E37" s="30" t="n">
        <f aca="false">IF(B37&lt;=12,Assumptions!$C$13*B37/12,IF(B37&lt;=24,Assumptions!$C$13+(Assumptions!$D$13-Assumptions!$C$13)*(B37-12)/12,Assumptions!$D$13+(Assumptions!$E$13-Assumptions!$D$13)*(B37-24)/12))</f>
        <v>2070</v>
      </c>
      <c r="F37" s="31" t="n">
        <f aca="false">D37+E37</f>
        <v>3550</v>
      </c>
      <c r="G37" s="32" t="n">
        <f aca="false">D37*Assumptions!$C$6</f>
        <v>738520</v>
      </c>
      <c r="H37" s="32" t="n">
        <f aca="false">E37*Assumptions!$C$7</f>
        <v>3102930</v>
      </c>
      <c r="I37" s="20" t="n">
        <f aca="false">G37+H37</f>
        <v>3841450</v>
      </c>
      <c r="J37" s="32" t="n">
        <f aca="false">I37*Assumptions!$E$18</f>
        <v>384145</v>
      </c>
      <c r="K37" s="20" t="n">
        <f aca="false">I37+J37</f>
        <v>4225595</v>
      </c>
    </row>
    <row r="38" customFormat="false" ht="15" hidden="false" customHeight="false" outlineLevel="0" collapsed="false">
      <c r="B38" s="33" t="n">
        <v>34</v>
      </c>
      <c r="C38" s="33" t="s">
        <v>124</v>
      </c>
      <c r="D38" s="34" t="n">
        <f aca="false">IF(B38&lt;=12,Assumptions!$C$12*B38/12,IF(B38&lt;=24,Assumptions!$C$12+(Assumptions!$D$12-Assumptions!$C$12)*(B38-12)/12,Assumptions!$D$12+(Assumptions!$E$12-Assumptions!$D$12)*(B38-24)/12))</f>
        <v>1546.66666666667</v>
      </c>
      <c r="E38" s="34" t="n">
        <f aca="false">IF(B38&lt;=12,Assumptions!$C$13*B38/12,IF(B38&lt;=24,Assumptions!$C$13+(Assumptions!$D$13-Assumptions!$C$13)*(B38-12)/12,Assumptions!$D$13+(Assumptions!$E$13-Assumptions!$D$13)*(B38-24)/12))</f>
        <v>2220</v>
      </c>
      <c r="F38" s="35" t="n">
        <f aca="false">D38+E38</f>
        <v>3766.66666666667</v>
      </c>
      <c r="G38" s="36" t="n">
        <f aca="false">D38*Assumptions!$C$6</f>
        <v>771786.666666667</v>
      </c>
      <c r="H38" s="36" t="n">
        <f aca="false">E38*Assumptions!$C$7</f>
        <v>3327780</v>
      </c>
      <c r="I38" s="37" t="n">
        <f aca="false">G38+H38</f>
        <v>4099566.66666667</v>
      </c>
      <c r="J38" s="36" t="n">
        <f aca="false">I38*Assumptions!$E$18</f>
        <v>409956.666666667</v>
      </c>
      <c r="K38" s="37" t="n">
        <f aca="false">I38+J38</f>
        <v>4509523.33333333</v>
      </c>
    </row>
    <row r="39" customFormat="false" ht="15" hidden="false" customHeight="false" outlineLevel="0" collapsed="false">
      <c r="B39" s="29" t="n">
        <v>35</v>
      </c>
      <c r="C39" s="29" t="s">
        <v>124</v>
      </c>
      <c r="D39" s="30" t="n">
        <f aca="false">IF(B39&lt;=12,Assumptions!$C$12*B39/12,IF(B39&lt;=24,Assumptions!$C$12+(Assumptions!$D$12-Assumptions!$C$12)*(B39-12)/12,Assumptions!$D$12+(Assumptions!$E$12-Assumptions!$D$12)*(B39-24)/12))</f>
        <v>1613.33333333333</v>
      </c>
      <c r="E39" s="30" t="n">
        <f aca="false">IF(B39&lt;=12,Assumptions!$C$13*B39/12,IF(B39&lt;=24,Assumptions!$C$13+(Assumptions!$D$13-Assumptions!$C$13)*(B39-12)/12,Assumptions!$D$13+(Assumptions!$E$13-Assumptions!$D$13)*(B39-24)/12))</f>
        <v>2370</v>
      </c>
      <c r="F39" s="31" t="n">
        <f aca="false">D39+E39</f>
        <v>3983.33333333333</v>
      </c>
      <c r="G39" s="32" t="n">
        <f aca="false">D39*Assumptions!$C$6</f>
        <v>805053.333333333</v>
      </c>
      <c r="H39" s="32" t="n">
        <f aca="false">E39*Assumptions!$C$7</f>
        <v>3552630</v>
      </c>
      <c r="I39" s="20" t="n">
        <f aca="false">G39+H39</f>
        <v>4357683.33333333</v>
      </c>
      <c r="J39" s="32" t="n">
        <f aca="false">I39*Assumptions!$E$18</f>
        <v>435768.333333333</v>
      </c>
      <c r="K39" s="20" t="n">
        <f aca="false">I39+J39</f>
        <v>4793451.66666667</v>
      </c>
    </row>
    <row r="40" customFormat="false" ht="15" hidden="false" customHeight="false" outlineLevel="0" collapsed="false">
      <c r="B40" s="33" t="n">
        <v>36</v>
      </c>
      <c r="C40" s="33" t="s">
        <v>124</v>
      </c>
      <c r="D40" s="34" t="n">
        <f aca="false">IF(B40&lt;=12,Assumptions!$C$12*B40/12,IF(B40&lt;=24,Assumptions!$C$12+(Assumptions!$D$12-Assumptions!$C$12)*(B40-12)/12,Assumptions!$D$12+(Assumptions!$E$12-Assumptions!$D$12)*(B40-24)/12))</f>
        <v>1680</v>
      </c>
      <c r="E40" s="34" t="n">
        <f aca="false">IF(B40&lt;=12,Assumptions!$C$13*B40/12,IF(B40&lt;=24,Assumptions!$C$13+(Assumptions!$D$13-Assumptions!$C$13)*(B40-12)/12,Assumptions!$D$13+(Assumptions!$E$13-Assumptions!$D$13)*(B40-24)/12))</f>
        <v>2520</v>
      </c>
      <c r="F40" s="35" t="n">
        <f aca="false">D40+E40</f>
        <v>4200</v>
      </c>
      <c r="G40" s="36" t="n">
        <f aca="false">D40*Assumptions!$C$6</f>
        <v>838320</v>
      </c>
      <c r="H40" s="36" t="n">
        <f aca="false">E40*Assumptions!$C$7</f>
        <v>3777480</v>
      </c>
      <c r="I40" s="37" t="n">
        <f aca="false">G40+H40</f>
        <v>4615800</v>
      </c>
      <c r="J40" s="36" t="n">
        <f aca="false">I40*Assumptions!$E$18</f>
        <v>461580</v>
      </c>
      <c r="K40" s="37" t="n">
        <f aca="false">I40+J40</f>
        <v>5077380</v>
      </c>
    </row>
    <row r="42" customFormat="false" ht="19.5" hidden="false" customHeight="true" outlineLevel="0" collapsed="false">
      <c r="B42" s="6" t="s">
        <v>125</v>
      </c>
      <c r="C42" s="6"/>
      <c r="D42" s="6"/>
      <c r="E42" s="6"/>
      <c r="F42" s="6"/>
      <c r="G42" s="6"/>
      <c r="H42" s="6"/>
      <c r="I42" s="6"/>
      <c r="J42" s="6"/>
      <c r="K42" s="6"/>
    </row>
    <row r="43" customFormat="false" ht="21.75" hidden="false" customHeight="true" outlineLevel="0" collapsed="false">
      <c r="B43" s="14" t="s">
        <v>65</v>
      </c>
      <c r="C43" s="14" t="s">
        <v>46</v>
      </c>
      <c r="D43" s="14" t="s">
        <v>47</v>
      </c>
      <c r="E43" s="14" t="s">
        <v>48</v>
      </c>
      <c r="F43" s="14"/>
    </row>
    <row r="44" customFormat="false" ht="15" hidden="false" customHeight="false" outlineLevel="0" collapsed="false">
      <c r="B44" s="19" t="s">
        <v>126</v>
      </c>
      <c r="C44" s="20" t="n">
        <f aca="false">SUM(I5:I16)</f>
        <v>1947400</v>
      </c>
      <c r="D44" s="20" t="n">
        <f aca="false">SUM(I17:I28)</f>
        <v>11517400</v>
      </c>
      <c r="E44" s="20" t="n">
        <f aca="false">SUM(I29:I40)</f>
        <v>38353900</v>
      </c>
    </row>
    <row r="45" customFormat="false" ht="15" hidden="false" customHeight="false" outlineLevel="0" collapsed="false">
      <c r="B45" s="15" t="s">
        <v>127</v>
      </c>
      <c r="C45" s="24" t="n">
        <f aca="false">SUM(J5:J16)</f>
        <v>0</v>
      </c>
      <c r="D45" s="24" t="n">
        <f aca="false">SUM(J17:J28)</f>
        <v>575870</v>
      </c>
      <c r="E45" s="24" t="n">
        <f aca="false">SUM(J29:J40)</f>
        <v>3835390</v>
      </c>
    </row>
    <row r="46" customFormat="false" ht="15" hidden="false" customHeight="false" outlineLevel="0" collapsed="false">
      <c r="B46" s="19" t="s">
        <v>128</v>
      </c>
      <c r="C46" s="20" t="n">
        <f aca="false">C44+C45</f>
        <v>1947400</v>
      </c>
      <c r="D46" s="20" t="n">
        <f aca="false">D44+D45</f>
        <v>12093270</v>
      </c>
      <c r="E46" s="20" t="n">
        <f aca="false">E44+E45</f>
        <v>42189290</v>
      </c>
    </row>
    <row r="47" customFormat="false" ht="15" hidden="false" customHeight="false" outlineLevel="0" collapsed="false">
      <c r="B47" s="15" t="s">
        <v>129</v>
      </c>
      <c r="C47" s="24" t="n">
        <f aca="false">I16*12</f>
        <v>3595200</v>
      </c>
      <c r="D47" s="24" t="n">
        <f aca="false">I28*12</f>
        <v>18220800</v>
      </c>
      <c r="E47" s="24" t="n">
        <f aca="false">I40*12</f>
        <v>55389600</v>
      </c>
      <c r="F47" s="17" t="s">
        <v>130</v>
      </c>
    </row>
    <row r="48" customFormat="false" ht="15" hidden="false" customHeight="false" outlineLevel="0" collapsed="false">
      <c r="B48" s="15" t="s">
        <v>131</v>
      </c>
      <c r="C48" s="31" t="n">
        <f aca="false">F16</f>
        <v>400</v>
      </c>
      <c r="D48" s="31" t="n">
        <f aca="false">F28</f>
        <v>1600</v>
      </c>
      <c r="E48" s="31" t="n">
        <f aca="false">F40</f>
        <v>4200</v>
      </c>
    </row>
    <row r="49" customFormat="false" ht="15" hidden="false" customHeight="false" outlineLevel="0" collapsed="false">
      <c r="B49" s="15" t="s">
        <v>132</v>
      </c>
      <c r="C49" s="38" t="n">
        <f aca="false">C46/C46</f>
        <v>1</v>
      </c>
      <c r="D49" s="38" t="n">
        <f aca="false">D46/C46</f>
        <v>6.20995686556434</v>
      </c>
      <c r="E49" s="38" t="n">
        <f aca="false">E46/C46</f>
        <v>21.6644192256342</v>
      </c>
    </row>
    <row r="51" customFormat="false" ht="15" hidden="false" customHeight="false" outlineLevel="0" collapsed="false">
      <c r="H51" s="19" t="s">
        <v>113</v>
      </c>
      <c r="I51" s="19" t="s">
        <v>133</v>
      </c>
      <c r="J51" s="19" t="s">
        <v>134</v>
      </c>
    </row>
    <row r="52" customFormat="false" ht="15" hidden="false" customHeight="false" outlineLevel="0" collapsed="false">
      <c r="H52" s="0" t="s">
        <v>46</v>
      </c>
      <c r="I52" s="24" t="n">
        <f aca="false">SUM(G5:G16)</f>
        <v>973050</v>
      </c>
      <c r="J52" s="24" t="n">
        <f aca="false">SUM(H5:H16)</f>
        <v>974350</v>
      </c>
    </row>
    <row r="53" customFormat="false" ht="15" hidden="false" customHeight="false" outlineLevel="0" collapsed="false">
      <c r="H53" s="0" t="s">
        <v>47</v>
      </c>
      <c r="I53" s="24" t="n">
        <f aca="false">SUM(G17:G28)</f>
        <v>3677630</v>
      </c>
      <c r="J53" s="24" t="n">
        <f aca="false">SUM(H17:H28)</f>
        <v>7839770</v>
      </c>
    </row>
    <row r="54" customFormat="false" ht="15" hidden="false" customHeight="false" outlineLevel="0" collapsed="false">
      <c r="H54" s="0" t="s">
        <v>48</v>
      </c>
      <c r="I54" s="24" t="n">
        <f aca="false">SUM(G29:G40)</f>
        <v>7864240</v>
      </c>
      <c r="J54" s="24" t="n">
        <f aca="false">SUM(H29:H40)</f>
        <v>30489660</v>
      </c>
    </row>
  </sheetData>
  <mergeCells count="3">
    <mergeCell ref="B1:K1"/>
    <mergeCell ref="B2:K2"/>
    <mergeCell ref="B42:K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5" min="3" style="0" width="16"/>
    <col collapsed="false" customWidth="true" hidden="false" outlineLevel="0" max="6" min="6" style="0" width="40"/>
  </cols>
  <sheetData>
    <row r="1" customFormat="false" ht="27.75" hidden="false" customHeight="true" outlineLevel="0" collapsed="false">
      <c r="B1" s="12" t="s">
        <v>135</v>
      </c>
      <c r="C1" s="12"/>
      <c r="D1" s="12"/>
      <c r="E1" s="12"/>
      <c r="F1" s="12"/>
    </row>
    <row r="2" customFormat="false" ht="15" hidden="false" customHeight="false" outlineLevel="0" collapsed="false">
      <c r="B2" s="13" t="s">
        <v>136</v>
      </c>
      <c r="C2" s="13"/>
      <c r="D2" s="13"/>
      <c r="E2" s="13"/>
      <c r="F2" s="13"/>
    </row>
    <row r="4" customFormat="false" ht="21.75" hidden="false" customHeight="true" outlineLevel="0" collapsed="false">
      <c r="B4" s="14" t="s">
        <v>137</v>
      </c>
      <c r="C4" s="14" t="s">
        <v>46</v>
      </c>
      <c r="D4" s="14" t="s">
        <v>47</v>
      </c>
      <c r="E4" s="14" t="s">
        <v>48</v>
      </c>
      <c r="F4" s="14" t="s">
        <v>36</v>
      </c>
    </row>
    <row r="5" customFormat="false" ht="15" hidden="false" customHeight="false" outlineLevel="0" collapsed="false">
      <c r="B5" s="19" t="s">
        <v>138</v>
      </c>
      <c r="C5" s="39" t="n">
        <f aca="false">'Revenue Projection'!C46</f>
        <v>1947400</v>
      </c>
      <c r="D5" s="39" t="n">
        <f aca="false">'Revenue Projection'!D46</f>
        <v>12093270</v>
      </c>
      <c r="E5" s="39" t="n">
        <f aca="false">'Revenue Projection'!E46</f>
        <v>42189290</v>
      </c>
    </row>
    <row r="6" customFormat="false" ht="15" hidden="false" customHeight="false" outlineLevel="0" collapsed="false">
      <c r="B6" s="40" t="s">
        <v>139</v>
      </c>
      <c r="C6" s="36" t="n">
        <f aca="false">Assumptions!C23</f>
        <v>600000</v>
      </c>
      <c r="D6" s="36" t="n">
        <f aca="false">Assumptions!D23</f>
        <v>1500000</v>
      </c>
      <c r="E6" s="36" t="n">
        <f aca="false">Assumptions!E23</f>
        <v>2800000</v>
      </c>
      <c r="F6" s="41"/>
    </row>
    <row r="7" customFormat="false" ht="15" hidden="false" customHeight="false" outlineLevel="0" collapsed="false">
      <c r="B7" s="19" t="s">
        <v>140</v>
      </c>
      <c r="C7" s="20" t="n">
        <f aca="false">C5-C6</f>
        <v>1347400</v>
      </c>
      <c r="D7" s="20" t="n">
        <f aca="false">D5-D6</f>
        <v>10593270</v>
      </c>
      <c r="E7" s="20" t="n">
        <f aca="false">E5-E6</f>
        <v>39389290</v>
      </c>
    </row>
    <row r="8" customFormat="false" ht="15" hidden="false" customHeight="false" outlineLevel="0" collapsed="false">
      <c r="B8" s="42" t="s">
        <v>141</v>
      </c>
      <c r="C8" s="43" t="n">
        <f aca="false">C7/C5</f>
        <v>0.69189688815857</v>
      </c>
      <c r="D8" s="43" t="n">
        <f aca="false">D7/D5</f>
        <v>0.875964069271587</v>
      </c>
      <c r="E8" s="43" t="n">
        <f aca="false">E7/E5</f>
        <v>0.933632445580383</v>
      </c>
      <c r="F8" s="41"/>
    </row>
    <row r="10" customFormat="false" ht="15" hidden="false" customHeight="false" outlineLevel="0" collapsed="false">
      <c r="B10" s="44" t="s">
        <v>142</v>
      </c>
      <c r="C10" s="41"/>
      <c r="D10" s="41"/>
      <c r="E10" s="41"/>
      <c r="F10" s="41"/>
    </row>
    <row r="11" customFormat="false" ht="15" hidden="false" customHeight="false" outlineLevel="0" collapsed="false">
      <c r="B11" s="45" t="s">
        <v>143</v>
      </c>
      <c r="C11" s="32" t="n">
        <f aca="false">Assumptions!C22</f>
        <v>6400000</v>
      </c>
      <c r="D11" s="32" t="n">
        <f aca="false">Assumptions!D22</f>
        <v>12600000</v>
      </c>
      <c r="E11" s="32" t="n">
        <f aca="false">Assumptions!E22</f>
        <v>20000000</v>
      </c>
    </row>
    <row r="12" customFormat="false" ht="15" hidden="false" customHeight="false" outlineLevel="0" collapsed="false">
      <c r="B12" s="42" t="s">
        <v>61</v>
      </c>
      <c r="C12" s="36" t="n">
        <f aca="false">Assumptions!C24</f>
        <v>800000</v>
      </c>
      <c r="D12" s="36" t="n">
        <f aca="false">Assumptions!D24</f>
        <v>2000000</v>
      </c>
      <c r="E12" s="36" t="n">
        <f aca="false">Assumptions!E24</f>
        <v>3000000</v>
      </c>
      <c r="F12" s="41"/>
    </row>
    <row r="13" customFormat="false" ht="15" hidden="false" customHeight="false" outlineLevel="0" collapsed="false">
      <c r="B13" s="45" t="s">
        <v>144</v>
      </c>
      <c r="C13" s="32" t="n">
        <f aca="false">Assumptions!C25</f>
        <v>500000</v>
      </c>
      <c r="D13" s="32" t="n">
        <f aca="false">Assumptions!D25</f>
        <v>1000000</v>
      </c>
      <c r="E13" s="32" t="n">
        <f aca="false">Assumptions!E25</f>
        <v>1500000</v>
      </c>
    </row>
    <row r="14" customFormat="false" ht="15" hidden="false" customHeight="false" outlineLevel="0" collapsed="false">
      <c r="B14" s="44" t="s">
        <v>145</v>
      </c>
      <c r="C14" s="37" t="n">
        <f aca="false">SUM(C11:C13)</f>
        <v>7700000</v>
      </c>
      <c r="D14" s="37" t="n">
        <f aca="false">SUM(D11:D13)</f>
        <v>15600000</v>
      </c>
      <c r="E14" s="37" t="n">
        <f aca="false">SUM(E11:E13)</f>
        <v>24500000</v>
      </c>
      <c r="F14" s="41"/>
    </row>
    <row r="16" customFormat="false" ht="15" hidden="false" customHeight="false" outlineLevel="0" collapsed="false">
      <c r="B16" s="44" t="s">
        <v>146</v>
      </c>
      <c r="C16" s="37" t="n">
        <f aca="false">C7-C14</f>
        <v>-6352600</v>
      </c>
      <c r="D16" s="37" t="n">
        <f aca="false">D7-D14</f>
        <v>-5006730</v>
      </c>
      <c r="E16" s="37" t="n">
        <f aca="false">E7-E14</f>
        <v>14889290</v>
      </c>
      <c r="F16" s="41"/>
    </row>
    <row r="17" customFormat="false" ht="15" hidden="false" customHeight="false" outlineLevel="0" collapsed="false">
      <c r="B17" s="45" t="s">
        <v>147</v>
      </c>
      <c r="C17" s="46" t="n">
        <f aca="false">C16/C5</f>
        <v>-3.26209304713978</v>
      </c>
      <c r="D17" s="46" t="n">
        <f aca="false">D16/D5</f>
        <v>-0.414009610303913</v>
      </c>
      <c r="E17" s="46" t="n">
        <f aca="false">E16/E5</f>
        <v>0.352916344408735</v>
      </c>
    </row>
    <row r="18" customFormat="false" ht="15" hidden="false" customHeight="false" outlineLevel="0" collapsed="false">
      <c r="B18" s="40" t="s">
        <v>148</v>
      </c>
      <c r="C18" s="36" t="n">
        <f aca="false">('Startup Cost Estimation'!$C$5+'Startup Cost Estimation'!$C$6+'Startup Cost Estimation'!$C$7)/Assumptions!$C$42</f>
        <v>640000</v>
      </c>
      <c r="D18" s="36" t="n">
        <f aca="false">('Startup Cost Estimation'!$C$5+'Startup Cost Estimation'!$C$6+'Startup Cost Estimation'!$C$7)/Assumptions!$C$42</f>
        <v>640000</v>
      </c>
      <c r="E18" s="36" t="n">
        <f aca="false">('Startup Cost Estimation'!$C$5+'Startup Cost Estimation'!$C$6+'Startup Cost Estimation'!$C$7)/Assumptions!$C$42</f>
        <v>640000</v>
      </c>
      <c r="F18" s="47" t="s">
        <v>149</v>
      </c>
    </row>
    <row r="19" customFormat="false" ht="15" hidden="false" customHeight="false" outlineLevel="0" collapsed="false">
      <c r="B19" s="19" t="s">
        <v>150</v>
      </c>
      <c r="C19" s="20" t="n">
        <f aca="false">C16-C18</f>
        <v>-6992600</v>
      </c>
      <c r="D19" s="20" t="n">
        <f aca="false">D16-D18</f>
        <v>-5646730</v>
      </c>
      <c r="E19" s="20" t="n">
        <f aca="false">E16-E18</f>
        <v>14249290</v>
      </c>
    </row>
    <row r="20" customFormat="false" ht="15" hidden="false" customHeight="false" outlineLevel="0" collapsed="false">
      <c r="B20" s="40" t="s">
        <v>151</v>
      </c>
      <c r="C20" s="36" t="n">
        <f aca="false">MAX(C19,0)*Assumptions!$C$39</f>
        <v>0</v>
      </c>
      <c r="D20" s="36" t="n">
        <f aca="false">MAX(D19,0)*Assumptions!$C$39</f>
        <v>0</v>
      </c>
      <c r="E20" s="36" t="n">
        <f aca="false">MAX(E19,0)*Assumptions!$C$39</f>
        <v>3562322.5</v>
      </c>
      <c r="F20" s="41"/>
    </row>
    <row r="21" customFormat="false" ht="15" hidden="false" customHeight="false" outlineLevel="0" collapsed="false">
      <c r="B21" s="25" t="s">
        <v>152</v>
      </c>
      <c r="C21" s="48" t="n">
        <f aca="false">C19-C20</f>
        <v>-6992600</v>
      </c>
      <c r="D21" s="48" t="n">
        <f aca="false">D19-D20</f>
        <v>-5646730</v>
      </c>
      <c r="E21" s="48" t="n">
        <f aca="false">E19-E20</f>
        <v>10686967.5</v>
      </c>
    </row>
    <row r="22" customFormat="false" ht="15" hidden="false" customHeight="false" outlineLevel="0" collapsed="false">
      <c r="B22" s="42" t="s">
        <v>153</v>
      </c>
      <c r="C22" s="43" t="n">
        <f aca="false">C21/C5</f>
        <v>-3.5907363664373</v>
      </c>
      <c r="D22" s="43" t="n">
        <f aca="false">D21/D5</f>
        <v>-0.466931607414703</v>
      </c>
      <c r="E22" s="43" t="n">
        <f aca="false">E21/E5</f>
        <v>0.253309963263188</v>
      </c>
      <c r="F22" s="41"/>
    </row>
    <row r="24" customFormat="false" ht="15" hidden="false" customHeight="false" outlineLevel="0" collapsed="false">
      <c r="B24" s="19" t="s">
        <v>113</v>
      </c>
      <c r="C24" s="19" t="s">
        <v>154</v>
      </c>
      <c r="D24" s="19" t="s">
        <v>146</v>
      </c>
      <c r="E24" s="19" t="s">
        <v>155</v>
      </c>
    </row>
    <row r="25" customFormat="false" ht="15" hidden="false" customHeight="false" outlineLevel="0" collapsed="false">
      <c r="B25" s="0" t="s">
        <v>46</v>
      </c>
      <c r="C25" s="24" t="n">
        <f aca="false">C5</f>
        <v>1947400</v>
      </c>
      <c r="D25" s="24" t="n">
        <f aca="false">C16</f>
        <v>-6352600</v>
      </c>
      <c r="E25" s="24" t="n">
        <f aca="false">C21</f>
        <v>-6992600</v>
      </c>
    </row>
    <row r="26" customFormat="false" ht="15" hidden="false" customHeight="false" outlineLevel="0" collapsed="false">
      <c r="B26" s="0" t="s">
        <v>47</v>
      </c>
      <c r="C26" s="24" t="n">
        <f aca="false">D5</f>
        <v>12093270</v>
      </c>
      <c r="D26" s="24" t="n">
        <f aca="false">D16</f>
        <v>-5006730</v>
      </c>
      <c r="E26" s="24" t="n">
        <f aca="false">D21</f>
        <v>-5646730</v>
      </c>
    </row>
    <row r="27" customFormat="false" ht="15" hidden="false" customHeight="false" outlineLevel="0" collapsed="false">
      <c r="B27" s="0" t="s">
        <v>48</v>
      </c>
      <c r="C27" s="24" t="n">
        <f aca="false">E5</f>
        <v>42189290</v>
      </c>
      <c r="D27" s="24" t="n">
        <f aca="false">E16</f>
        <v>14889290</v>
      </c>
      <c r="E27" s="24" t="n">
        <f aca="false">E21</f>
        <v>10686967.5</v>
      </c>
    </row>
  </sheetData>
  <mergeCells count="2">
    <mergeCell ref="B1:F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5" min="3" style="0" width="16"/>
    <col collapsed="false" customWidth="true" hidden="false" outlineLevel="0" max="6" min="6" style="0" width="40"/>
  </cols>
  <sheetData>
    <row r="1" customFormat="false" ht="27.75" hidden="false" customHeight="true" outlineLevel="0" collapsed="false">
      <c r="B1" s="12" t="s">
        <v>156</v>
      </c>
      <c r="C1" s="12"/>
      <c r="D1" s="12"/>
      <c r="E1" s="12"/>
      <c r="F1" s="12"/>
    </row>
    <row r="2" customFormat="false" ht="15" hidden="false" customHeight="false" outlineLevel="0" collapsed="false">
      <c r="B2" s="13" t="s">
        <v>157</v>
      </c>
      <c r="C2" s="13"/>
      <c r="D2" s="13"/>
      <c r="E2" s="13"/>
      <c r="F2" s="13"/>
    </row>
    <row r="4" customFormat="false" ht="21.75" hidden="false" customHeight="true" outlineLevel="0" collapsed="false">
      <c r="B4" s="14" t="s">
        <v>137</v>
      </c>
      <c r="C4" s="14" t="s">
        <v>46</v>
      </c>
      <c r="D4" s="14" t="s">
        <v>47</v>
      </c>
      <c r="E4" s="14" t="s">
        <v>48</v>
      </c>
      <c r="F4" s="14" t="s">
        <v>36</v>
      </c>
    </row>
    <row r="5" customFormat="false" ht="15" hidden="false" customHeight="false" outlineLevel="0" collapsed="false">
      <c r="B5" s="19" t="s">
        <v>158</v>
      </c>
    </row>
    <row r="6" customFormat="false" ht="15" hidden="false" customHeight="false" outlineLevel="0" collapsed="false">
      <c r="B6" s="42" t="s">
        <v>152</v>
      </c>
      <c r="C6" s="36" t="n">
        <f aca="false">'Profit &amp; Loss Statement'!C21</f>
        <v>-6992600</v>
      </c>
      <c r="D6" s="36" t="n">
        <f aca="false">'Profit &amp; Loss Statement'!D21</f>
        <v>-5646730</v>
      </c>
      <c r="E6" s="36" t="n">
        <f aca="false">'Profit &amp; Loss Statement'!E21</f>
        <v>10686967.5</v>
      </c>
      <c r="F6" s="41"/>
    </row>
    <row r="7" customFormat="false" ht="15" hidden="false" customHeight="false" outlineLevel="0" collapsed="false">
      <c r="B7" s="45" t="s">
        <v>159</v>
      </c>
      <c r="C7" s="32" t="n">
        <f aca="false">'Profit &amp; Loss Statement'!C18</f>
        <v>640000</v>
      </c>
      <c r="D7" s="32" t="n">
        <f aca="false">'Profit &amp; Loss Statement'!D18</f>
        <v>640000</v>
      </c>
      <c r="E7" s="32" t="n">
        <f aca="false">'Profit &amp; Loss Statement'!E18</f>
        <v>640000</v>
      </c>
    </row>
    <row r="8" customFormat="false" ht="15" hidden="false" customHeight="false" outlineLevel="0" collapsed="false">
      <c r="B8" s="44" t="s">
        <v>160</v>
      </c>
      <c r="C8" s="37" t="n">
        <f aca="false">C6+C7</f>
        <v>-6352600</v>
      </c>
      <c r="D8" s="37" t="n">
        <f aca="false">D6+D7</f>
        <v>-5006730</v>
      </c>
      <c r="E8" s="37" t="n">
        <f aca="false">E6+E7</f>
        <v>11326967.5</v>
      </c>
      <c r="F8" s="41"/>
    </row>
    <row r="10" customFormat="false" ht="15" hidden="false" customHeight="false" outlineLevel="0" collapsed="false">
      <c r="B10" s="44" t="s">
        <v>161</v>
      </c>
      <c r="C10" s="41"/>
      <c r="D10" s="41"/>
      <c r="E10" s="41"/>
      <c r="F10" s="41"/>
    </row>
    <row r="11" customFormat="false" ht="15" hidden="false" customHeight="false" outlineLevel="0" collapsed="false">
      <c r="B11" s="45" t="s">
        <v>162</v>
      </c>
      <c r="C11" s="32" t="n">
        <f aca="false">-'Startup Cost Estimation'!C14</f>
        <v>-5940000</v>
      </c>
      <c r="D11" s="24" t="n">
        <v>0</v>
      </c>
      <c r="E11" s="24" t="n">
        <v>0</v>
      </c>
    </row>
    <row r="12" customFormat="false" ht="15" hidden="false" customHeight="false" outlineLevel="0" collapsed="false">
      <c r="B12" s="44" t="s">
        <v>163</v>
      </c>
      <c r="C12" s="37" t="n">
        <f aca="false">C11</f>
        <v>-5940000</v>
      </c>
      <c r="D12" s="37" t="n">
        <f aca="false">D11</f>
        <v>0</v>
      </c>
      <c r="E12" s="37" t="n">
        <f aca="false">E11</f>
        <v>0</v>
      </c>
      <c r="F12" s="41"/>
    </row>
    <row r="14" customFormat="false" ht="15" hidden="false" customHeight="false" outlineLevel="0" collapsed="false">
      <c r="B14" s="44" t="s">
        <v>164</v>
      </c>
      <c r="C14" s="41"/>
      <c r="D14" s="41"/>
      <c r="E14" s="41"/>
      <c r="F14" s="41"/>
    </row>
    <row r="15" customFormat="false" ht="15" hidden="false" customHeight="false" outlineLevel="0" collapsed="false">
      <c r="B15" s="45" t="s">
        <v>165</v>
      </c>
      <c r="C15" s="32" t="n">
        <f aca="false">'Startup Cost Estimation'!C14</f>
        <v>5940000</v>
      </c>
      <c r="D15" s="24" t="n">
        <v>0</v>
      </c>
      <c r="E15" s="24" t="n">
        <v>0</v>
      </c>
    </row>
    <row r="16" customFormat="false" ht="15" hidden="false" customHeight="false" outlineLevel="0" collapsed="false">
      <c r="B16" s="44" t="s">
        <v>166</v>
      </c>
      <c r="C16" s="37" t="n">
        <f aca="false">C15</f>
        <v>5940000</v>
      </c>
      <c r="D16" s="37" t="n">
        <f aca="false">D15</f>
        <v>0</v>
      </c>
      <c r="E16" s="37" t="n">
        <f aca="false">E15</f>
        <v>0</v>
      </c>
      <c r="F16" s="41"/>
    </row>
    <row r="18" customFormat="false" ht="15" hidden="false" customHeight="false" outlineLevel="0" collapsed="false">
      <c r="B18" s="44" t="s">
        <v>167</v>
      </c>
      <c r="C18" s="37" t="n">
        <f aca="false">C8+C12+C16</f>
        <v>-6352600</v>
      </c>
      <c r="D18" s="37" t="n">
        <f aca="false">D8+D12+D16</f>
        <v>-5006730</v>
      </c>
      <c r="E18" s="37" t="n">
        <f aca="false">E8+E12+E16</f>
        <v>11326967.5</v>
      </c>
      <c r="F18" s="41"/>
    </row>
    <row r="19" customFormat="false" ht="15" hidden="false" customHeight="false" outlineLevel="0" collapsed="false">
      <c r="B19" s="15" t="s">
        <v>168</v>
      </c>
      <c r="C19" s="49" t="n">
        <v>0</v>
      </c>
      <c r="D19" s="50" t="n">
        <f aca="false">C20</f>
        <v>-6352600</v>
      </c>
      <c r="E19" s="50" t="n">
        <f aca="false">D20</f>
        <v>-11359330</v>
      </c>
    </row>
    <row r="20" customFormat="false" ht="15" hidden="false" customHeight="false" outlineLevel="0" collapsed="false">
      <c r="B20" s="25" t="s">
        <v>169</v>
      </c>
      <c r="C20" s="48" t="n">
        <f aca="false">C19+C18</f>
        <v>-6352600</v>
      </c>
      <c r="D20" s="48" t="n">
        <f aca="false">D19+D18</f>
        <v>-11359330</v>
      </c>
      <c r="E20" s="48" t="n">
        <f aca="false">E19+E18</f>
        <v>-32362.5</v>
      </c>
      <c r="F20" s="41"/>
    </row>
    <row r="22" customFormat="false" ht="15" hidden="false" customHeight="false" outlineLevel="0" collapsed="false">
      <c r="B22" s="17" t="s">
        <v>170</v>
      </c>
    </row>
  </sheetData>
  <mergeCells count="2">
    <mergeCell ref="B1:F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8"/>
    <col collapsed="false" customWidth="true" hidden="false" outlineLevel="0" max="4" min="4" style="0" width="40"/>
  </cols>
  <sheetData>
    <row r="1" customFormat="false" ht="27.75" hidden="false" customHeight="true" outlineLevel="0" collapsed="false">
      <c r="B1" s="12" t="s">
        <v>171</v>
      </c>
      <c r="C1" s="12"/>
      <c r="D1" s="12"/>
    </row>
    <row r="2" customFormat="false" ht="15" hidden="false" customHeight="false" outlineLevel="0" collapsed="false">
      <c r="B2" s="13" t="s">
        <v>172</v>
      </c>
      <c r="C2" s="13"/>
      <c r="D2" s="13"/>
    </row>
    <row r="4" customFormat="false" ht="21.75" hidden="false" customHeight="true" outlineLevel="0" collapsed="false">
      <c r="B4" s="14" t="s">
        <v>173</v>
      </c>
      <c r="C4" s="14" t="s">
        <v>66</v>
      </c>
    </row>
    <row r="5" customFormat="false" ht="15" hidden="false" customHeight="false" outlineLevel="0" collapsed="false">
      <c r="B5" s="15" t="s">
        <v>174</v>
      </c>
      <c r="C5" s="32" t="n">
        <f aca="false">Assumptions!C30</f>
        <v>750</v>
      </c>
    </row>
    <row r="6" customFormat="false" ht="15" hidden="false" customHeight="false" outlineLevel="0" collapsed="false">
      <c r="B6" s="15" t="s">
        <v>69</v>
      </c>
      <c r="C6" s="32" t="n">
        <f aca="false">Assumptions!C31</f>
        <v>100</v>
      </c>
    </row>
    <row r="7" customFormat="false" ht="15" hidden="false" customHeight="false" outlineLevel="0" collapsed="false">
      <c r="B7" s="19" t="s">
        <v>71</v>
      </c>
      <c r="C7" s="39" t="n">
        <f aca="false">Assumptions!C32</f>
        <v>650</v>
      </c>
    </row>
    <row r="8" customFormat="false" ht="15" hidden="false" customHeight="false" outlineLevel="0" collapsed="false">
      <c r="B8" s="15" t="s">
        <v>175</v>
      </c>
      <c r="C8" s="32" t="n">
        <f aca="false">Assumptions!C26/12</f>
        <v>691666.666666667</v>
      </c>
    </row>
    <row r="10" customFormat="false" ht="15" hidden="false" customHeight="false" outlineLevel="0" collapsed="false">
      <c r="B10" s="19" t="s">
        <v>176</v>
      </c>
      <c r="C10" s="51" t="n">
        <f aca="false">ROUNDUP(C8/C7,0)</f>
        <v>1065</v>
      </c>
    </row>
    <row r="11" customFormat="false" ht="15" hidden="false" customHeight="false" outlineLevel="0" collapsed="false">
      <c r="B11" s="19" t="s">
        <v>177</v>
      </c>
      <c r="C11" s="20" t="n">
        <f aca="false">C10*C5</f>
        <v>798750</v>
      </c>
    </row>
    <row r="12" customFormat="false" ht="15" hidden="false" customHeight="false" outlineLevel="0" collapsed="false">
      <c r="B12" s="19" t="s">
        <v>178</v>
      </c>
      <c r="C12" s="52" t="n">
        <f aca="false">IFERROR(MATCH(TRUE(),INDEX('Revenue Projection'!F5:F40&gt;=C10,0),0),"Beyond Year 3")</f>
        <v>19</v>
      </c>
      <c r="D12" s="17" t="s">
        <v>179</v>
      </c>
    </row>
    <row r="14" customFormat="false" ht="15" hidden="false" customHeight="true" outlineLevel="0" collapsed="false">
      <c r="B14" s="27" t="s">
        <v>180</v>
      </c>
      <c r="C14" s="27"/>
      <c r="D14" s="27"/>
    </row>
    <row r="15" customFormat="false" ht="15" hidden="false" customHeight="false" outlineLevel="0" collapsed="false">
      <c r="B15" s="27"/>
      <c r="C15" s="27"/>
      <c r="D15" s="27"/>
    </row>
    <row r="16" customFormat="false" ht="15" hidden="false" customHeight="false" outlineLevel="0" collapsed="false">
      <c r="B16" s="27"/>
      <c r="C16" s="27"/>
      <c r="D16" s="27"/>
    </row>
    <row r="17" customFormat="false" ht="15" hidden="false" customHeight="false" outlineLevel="0" collapsed="false">
      <c r="B17" s="27"/>
      <c r="C17" s="27"/>
      <c r="D17" s="27"/>
    </row>
    <row r="20" customFormat="false" ht="15" hidden="false" customHeight="false" outlineLevel="0" collapsed="false">
      <c r="B20" s="19" t="s">
        <v>112</v>
      </c>
      <c r="C20" s="19" t="s">
        <v>181</v>
      </c>
      <c r="D20" s="19" t="s">
        <v>182</v>
      </c>
      <c r="E20" s="19" t="s">
        <v>183</v>
      </c>
    </row>
    <row r="21" customFormat="false" ht="15" hidden="false" customHeight="false" outlineLevel="0" collapsed="false">
      <c r="B21" s="0" t="n">
        <v>1</v>
      </c>
      <c r="C21" s="31" t="n">
        <f aca="false">'Revenue Projection'!F5</f>
        <v>33.3333333333333</v>
      </c>
      <c r="D21" s="24" t="n">
        <f aca="false">'Revenue Projection'!K5</f>
        <v>24966.6666666667</v>
      </c>
      <c r="E21" s="24" t="n">
        <f aca="false">$C$8</f>
        <v>691666.666666667</v>
      </c>
    </row>
    <row r="22" customFormat="false" ht="15" hidden="false" customHeight="false" outlineLevel="0" collapsed="false">
      <c r="B22" s="0" t="n">
        <v>4</v>
      </c>
      <c r="C22" s="31" t="n">
        <f aca="false">'Revenue Projection'!F8</f>
        <v>133.333333333333</v>
      </c>
      <c r="D22" s="24" t="n">
        <f aca="false">'Revenue Projection'!K8</f>
        <v>99866.6666666667</v>
      </c>
      <c r="E22" s="24" t="n">
        <f aca="false">$C$8</f>
        <v>691666.666666667</v>
      </c>
    </row>
    <row r="23" customFormat="false" ht="15" hidden="false" customHeight="false" outlineLevel="0" collapsed="false">
      <c r="B23" s="0" t="n">
        <v>7</v>
      </c>
      <c r="C23" s="31" t="n">
        <f aca="false">'Revenue Projection'!F11</f>
        <v>233.333333333333</v>
      </c>
      <c r="D23" s="24" t="n">
        <f aca="false">'Revenue Projection'!K11</f>
        <v>174766.666666667</v>
      </c>
      <c r="E23" s="24" t="n">
        <f aca="false">$C$8</f>
        <v>691666.666666667</v>
      </c>
    </row>
    <row r="24" customFormat="false" ht="15" hidden="false" customHeight="false" outlineLevel="0" collapsed="false">
      <c r="B24" s="0" t="n">
        <v>10</v>
      </c>
      <c r="C24" s="31" t="n">
        <f aca="false">'Revenue Projection'!F14</f>
        <v>333.333333333333</v>
      </c>
      <c r="D24" s="24" t="n">
        <f aca="false">'Revenue Projection'!K14</f>
        <v>249666.666666667</v>
      </c>
      <c r="E24" s="24" t="n">
        <f aca="false">$C$8</f>
        <v>691666.666666667</v>
      </c>
    </row>
    <row r="25" customFormat="false" ht="15" hidden="false" customHeight="false" outlineLevel="0" collapsed="false">
      <c r="B25" s="0" t="n">
        <v>13</v>
      </c>
      <c r="C25" s="31" t="n">
        <f aca="false">'Revenue Projection'!F17</f>
        <v>500</v>
      </c>
      <c r="D25" s="24" t="n">
        <f aca="false">'Revenue Projection'!K17</f>
        <v>421225</v>
      </c>
      <c r="E25" s="24" t="n">
        <f aca="false">$C$8</f>
        <v>691666.666666667</v>
      </c>
    </row>
    <row r="26" customFormat="false" ht="15" hidden="false" customHeight="false" outlineLevel="0" collapsed="false">
      <c r="B26" s="0" t="n">
        <v>16</v>
      </c>
      <c r="C26" s="31" t="n">
        <f aca="false">'Revenue Projection'!F20</f>
        <v>800</v>
      </c>
      <c r="D26" s="24" t="n">
        <f aca="false">'Revenue Projection'!K20</f>
        <v>741160</v>
      </c>
      <c r="E26" s="24" t="n">
        <f aca="false">$C$8</f>
        <v>691666.666666667</v>
      </c>
    </row>
    <row r="27" customFormat="false" ht="15" hidden="false" customHeight="false" outlineLevel="0" collapsed="false">
      <c r="B27" s="0" t="n">
        <v>19</v>
      </c>
      <c r="C27" s="31" t="n">
        <f aca="false">'Revenue Projection'!F23</f>
        <v>1100</v>
      </c>
      <c r="D27" s="24" t="n">
        <f aca="false">'Revenue Projection'!K23</f>
        <v>1061095</v>
      </c>
      <c r="E27" s="24" t="n">
        <f aca="false">$C$8</f>
        <v>691666.666666667</v>
      </c>
    </row>
    <row r="28" customFormat="false" ht="15" hidden="false" customHeight="false" outlineLevel="0" collapsed="false">
      <c r="B28" s="0" t="n">
        <v>22</v>
      </c>
      <c r="C28" s="31" t="n">
        <f aca="false">'Revenue Projection'!F26</f>
        <v>1400</v>
      </c>
      <c r="D28" s="24" t="n">
        <f aca="false">'Revenue Projection'!K26</f>
        <v>1381030</v>
      </c>
      <c r="E28" s="24" t="n">
        <f aca="false">$C$8</f>
        <v>691666.666666667</v>
      </c>
    </row>
    <row r="29" customFormat="false" ht="15" hidden="false" customHeight="false" outlineLevel="0" collapsed="false">
      <c r="B29" s="0" t="n">
        <v>25</v>
      </c>
      <c r="C29" s="31" t="n">
        <f aca="false">'Revenue Projection'!F29</f>
        <v>1816.66666666667</v>
      </c>
      <c r="D29" s="24" t="n">
        <f aca="false">'Revenue Projection'!K29</f>
        <v>1954168.33333333</v>
      </c>
      <c r="E29" s="24" t="n">
        <f aca="false">$C$8</f>
        <v>691666.666666667</v>
      </c>
    </row>
    <row r="30" customFormat="false" ht="15" hidden="false" customHeight="false" outlineLevel="0" collapsed="false">
      <c r="B30" s="0" t="n">
        <v>28</v>
      </c>
      <c r="C30" s="31" t="n">
        <f aca="false">'Revenue Projection'!F32</f>
        <v>2466.66666666667</v>
      </c>
      <c r="D30" s="24" t="n">
        <f aca="false">'Revenue Projection'!K32</f>
        <v>2805953.33333333</v>
      </c>
      <c r="E30" s="24" t="n">
        <f aca="false">$C$8</f>
        <v>691666.666666667</v>
      </c>
    </row>
    <row r="31" customFormat="false" ht="15" hidden="false" customHeight="false" outlineLevel="0" collapsed="false">
      <c r="B31" s="0" t="n">
        <v>31</v>
      </c>
      <c r="C31" s="31" t="n">
        <f aca="false">'Revenue Projection'!F35</f>
        <v>3116.66666666667</v>
      </c>
      <c r="D31" s="24" t="n">
        <f aca="false">'Revenue Projection'!K35</f>
        <v>3657738.33333333</v>
      </c>
      <c r="E31" s="24" t="n">
        <f aca="false">$C$8</f>
        <v>691666.666666667</v>
      </c>
    </row>
    <row r="32" customFormat="false" ht="15" hidden="false" customHeight="false" outlineLevel="0" collapsed="false">
      <c r="B32" s="0" t="n">
        <v>34</v>
      </c>
      <c r="C32" s="31" t="n">
        <f aca="false">'Revenue Projection'!F38</f>
        <v>3766.66666666667</v>
      </c>
      <c r="D32" s="24" t="n">
        <f aca="false">'Revenue Projection'!K38</f>
        <v>4509523.33333333</v>
      </c>
      <c r="E32" s="24" t="n">
        <f aca="false">$C$8</f>
        <v>691666.666666667</v>
      </c>
    </row>
  </sheetData>
  <mergeCells count="3">
    <mergeCell ref="B1:D1"/>
    <mergeCell ref="B2:D2"/>
    <mergeCell ref="B14: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15"/>
    <col collapsed="false" customWidth="true" hidden="false" outlineLevel="0" max="6" min="6" style="0" width="4"/>
    <col collapsed="false" customWidth="true" hidden="false" outlineLevel="0" max="7" min="7" style="0" width="18"/>
    <col collapsed="false" customWidth="true" hidden="false" outlineLevel="0" max="8" min="8" style="0" width="15"/>
  </cols>
  <sheetData>
    <row r="1" customFormat="false" ht="27.75" hidden="false" customHeight="true" outlineLevel="0" collapsed="false">
      <c r="B1" s="12" t="s">
        <v>184</v>
      </c>
      <c r="C1" s="12"/>
      <c r="D1" s="12"/>
      <c r="E1" s="12"/>
      <c r="F1" s="12"/>
      <c r="G1" s="12"/>
      <c r="H1" s="12"/>
    </row>
    <row r="2" customFormat="false" ht="15" hidden="false" customHeight="false" outlineLevel="0" collapsed="false">
      <c r="B2" s="13" t="s">
        <v>185</v>
      </c>
      <c r="C2" s="13"/>
      <c r="D2" s="13"/>
      <c r="E2" s="13"/>
      <c r="F2" s="13"/>
      <c r="G2" s="13"/>
      <c r="H2" s="13"/>
    </row>
    <row r="4" customFormat="false" ht="21.75" hidden="false" customHeight="true" outlineLevel="0" collapsed="false">
      <c r="B4" s="14" t="s">
        <v>186</v>
      </c>
      <c r="C4" s="14" t="s">
        <v>46</v>
      </c>
      <c r="D4" s="14" t="s">
        <v>47</v>
      </c>
      <c r="E4" s="14" t="s">
        <v>48</v>
      </c>
    </row>
    <row r="5" customFormat="false" ht="15" hidden="false" customHeight="false" outlineLevel="0" collapsed="false">
      <c r="B5" s="19" t="s">
        <v>187</v>
      </c>
      <c r="C5" s="39" t="n">
        <f aca="false">'Revenue Projection'!K16</f>
        <v>299600</v>
      </c>
      <c r="D5" s="39" t="n">
        <f aca="false">'Revenue Projection'!K28</f>
        <v>1594320</v>
      </c>
      <c r="E5" s="39" t="n">
        <f aca="false">'Revenue Projection'!K40</f>
        <v>5077380</v>
      </c>
    </row>
    <row r="6" customFormat="false" ht="15" hidden="false" customHeight="false" outlineLevel="0" collapsed="false">
      <c r="B6" s="19" t="s">
        <v>188</v>
      </c>
      <c r="C6" s="39" t="n">
        <f aca="false">C5*12</f>
        <v>3595200</v>
      </c>
      <c r="D6" s="39" t="n">
        <f aca="false">D5*12</f>
        <v>19131840</v>
      </c>
      <c r="E6" s="39" t="n">
        <f aca="false">E5*12</f>
        <v>60928560</v>
      </c>
    </row>
    <row r="7" customFormat="false" ht="15" hidden="false" customHeight="false" outlineLevel="0" collapsed="false">
      <c r="B7" s="15" t="s">
        <v>189</v>
      </c>
      <c r="C7" s="30" t="n">
        <f aca="false">'Revenue Projection'!C48</f>
        <v>400</v>
      </c>
      <c r="D7" s="30" t="n">
        <f aca="false">'Revenue Projection'!D48</f>
        <v>1600</v>
      </c>
      <c r="E7" s="30" t="n">
        <f aca="false">'Revenue Projection'!E48</f>
        <v>4200</v>
      </c>
    </row>
    <row r="8" customFormat="false" ht="15" hidden="false" customHeight="false" outlineLevel="0" collapsed="false">
      <c r="B8" s="15" t="s">
        <v>190</v>
      </c>
      <c r="C8" s="32" t="n">
        <f aca="false">C5/C7</f>
        <v>749</v>
      </c>
      <c r="D8" s="32" t="n">
        <f aca="false">D5/D7</f>
        <v>996.45</v>
      </c>
      <c r="E8" s="32" t="n">
        <f aca="false">E5/E7</f>
        <v>1208.9</v>
      </c>
    </row>
    <row r="9" customFormat="false" ht="15" hidden="false" customHeight="false" outlineLevel="0" collapsed="false">
      <c r="B9" s="15" t="s">
        <v>141</v>
      </c>
      <c r="C9" s="53" t="n">
        <f aca="false">'Profit &amp; Loss Statement'!C8</f>
        <v>0.69189688815857</v>
      </c>
      <c r="D9" s="53" t="n">
        <f aca="false">'Profit &amp; Loss Statement'!D8</f>
        <v>0.875964069271587</v>
      </c>
      <c r="E9" s="53" t="n">
        <f aca="false">'Profit &amp; Loss Statement'!E8</f>
        <v>0.933632445580383</v>
      </c>
    </row>
    <row r="10" customFormat="false" ht="15" hidden="false" customHeight="false" outlineLevel="0" collapsed="false">
      <c r="B10" s="15" t="s">
        <v>191</v>
      </c>
      <c r="C10" s="53" t="n">
        <f aca="false">'Profit &amp; Loss Statement'!C22</f>
        <v>-3.5907363664373</v>
      </c>
      <c r="D10" s="53" t="n">
        <f aca="false">'Profit &amp; Loss Statement'!D22</f>
        <v>-0.466931607414703</v>
      </c>
      <c r="E10" s="53" t="n">
        <f aca="false">'Profit &amp; Loss Statement'!E22</f>
        <v>0.253309963263188</v>
      </c>
    </row>
    <row r="11" customFormat="false" ht="15" hidden="false" customHeight="false" outlineLevel="0" collapsed="false">
      <c r="B11" s="15" t="s">
        <v>192</v>
      </c>
      <c r="C11" s="32" t="n">
        <f aca="false">Assumptions!C24/'Revenue Projection'!C48</f>
        <v>2000</v>
      </c>
      <c r="D11" s="32" t="n">
        <f aca="false">Assumptions!D24/('Revenue Projection'!D48-'Revenue Projection'!C48)</f>
        <v>1666.66666666667</v>
      </c>
      <c r="E11" s="32" t="n">
        <f aca="false">Assumptions!E24/('Revenue Projection'!E48-'Revenue Projection'!D48)</f>
        <v>1153.84615384615</v>
      </c>
    </row>
    <row r="12" customFormat="false" ht="15" hidden="false" customHeight="false" outlineLevel="0" collapsed="false">
      <c r="B12" s="15" t="s">
        <v>193</v>
      </c>
      <c r="C12" s="32" t="n">
        <f aca="false">Assumptions!$C$35</f>
        <v>21250</v>
      </c>
      <c r="D12" s="32" t="n">
        <f aca="false">Assumptions!$C$35</f>
        <v>21250</v>
      </c>
      <c r="E12" s="32" t="n">
        <f aca="false">Assumptions!$C$35</f>
        <v>21250</v>
      </c>
    </row>
    <row r="13" customFormat="false" ht="15" hidden="false" customHeight="false" outlineLevel="0" collapsed="false">
      <c r="B13" s="15" t="s">
        <v>194</v>
      </c>
      <c r="C13" s="54" t="n">
        <f aca="false">C12/C11</f>
        <v>10.625</v>
      </c>
      <c r="D13" s="54" t="n">
        <f aca="false">D12/D11</f>
        <v>12.75</v>
      </c>
      <c r="E13" s="54" t="n">
        <f aca="false">E12/E11</f>
        <v>18.4166666666667</v>
      </c>
    </row>
    <row r="14" customFormat="false" ht="15" hidden="false" customHeight="false" outlineLevel="0" collapsed="false">
      <c r="B14" s="15" t="s">
        <v>195</v>
      </c>
      <c r="C14" s="55" t="str">
        <f aca="false">"n/a"</f>
        <v>n/a</v>
      </c>
      <c r="D14" s="46" t="n">
        <f aca="false">D6/C6-1</f>
        <v>4.3214953271028</v>
      </c>
      <c r="E14" s="46" t="n">
        <f aca="false">E6/D6-1</f>
        <v>2.18466807165437</v>
      </c>
    </row>
    <row r="15" customFormat="false" ht="15" hidden="false" customHeight="false" outlineLevel="0" collapsed="false">
      <c r="B15" s="15" t="s">
        <v>196</v>
      </c>
      <c r="C15" s="53" t="n">
        <f aca="false">(C5/('Revenue Projection'!K5))^(1/11)-1</f>
        <v>0.25345107172309</v>
      </c>
      <c r="D15" s="53" t="n">
        <f aca="false">(D5/('Revenue Projection'!K17))^(1/11)-1</f>
        <v>0.128628550577761</v>
      </c>
      <c r="E15" s="53" t="n">
        <f aca="false">(E5/('Revenue Projection'!K29))^(1/11)-1</f>
        <v>0.0906815644557351</v>
      </c>
    </row>
    <row r="17" customFormat="false" ht="19.5" hidden="false" customHeight="true" outlineLevel="0" collapsed="false">
      <c r="B17" s="6" t="s">
        <v>197</v>
      </c>
      <c r="C17" s="6"/>
      <c r="D17" s="6"/>
      <c r="E17" s="6"/>
    </row>
    <row r="18" customFormat="false" ht="15" hidden="false" customHeight="false" outlineLevel="0" collapsed="false">
      <c r="B18" s="19" t="s">
        <v>198</v>
      </c>
      <c r="C18" s="19" t="s">
        <v>199</v>
      </c>
    </row>
    <row r="19" customFormat="false" ht="15" hidden="false" customHeight="false" outlineLevel="0" collapsed="false">
      <c r="B19" s="15" t="s">
        <v>200</v>
      </c>
      <c r="C19" s="24" t="n">
        <f aca="false">SUMIFS('Revenue Projection'!G:G,'Revenue Projection'!C:C,"Y3")</f>
        <v>7864240</v>
      </c>
    </row>
    <row r="20" customFormat="false" ht="15" hidden="false" customHeight="false" outlineLevel="0" collapsed="false">
      <c r="B20" s="15" t="s">
        <v>201</v>
      </c>
      <c r="C20" s="24" t="n">
        <f aca="false">SUMIFS('Revenue Projection'!H:H,'Revenue Projection'!C:C,"Y3")</f>
        <v>30489660</v>
      </c>
    </row>
    <row r="21" customFormat="false" ht="15" hidden="false" customHeight="false" outlineLevel="0" collapsed="false">
      <c r="B21" s="15" t="s">
        <v>202</v>
      </c>
      <c r="C21" s="24" t="n">
        <f aca="false">SUMIFS('Revenue Projection'!J:J,'Revenue Projection'!C:C,"Y3")</f>
        <v>3835390</v>
      </c>
    </row>
    <row r="24" customFormat="false" ht="19.5" hidden="false" customHeight="true" outlineLevel="0" collapsed="false">
      <c r="B24" s="6" t="s">
        <v>203</v>
      </c>
      <c r="C24" s="6"/>
      <c r="D24" s="6"/>
      <c r="E24" s="6"/>
    </row>
    <row r="25" customFormat="false" ht="15" hidden="false" customHeight="false" outlineLevel="0" collapsed="false">
      <c r="B25" s="19" t="s">
        <v>113</v>
      </c>
      <c r="C25" s="19" t="s">
        <v>204</v>
      </c>
      <c r="D25" s="19" t="s">
        <v>205</v>
      </c>
      <c r="E25" s="19" t="s">
        <v>206</v>
      </c>
    </row>
    <row r="26" customFormat="false" ht="15" hidden="false" customHeight="false" outlineLevel="0" collapsed="false">
      <c r="B26" s="0" t="s">
        <v>46</v>
      </c>
      <c r="C26" s="31" t="n">
        <f aca="false">Assumptions!C12</f>
        <v>300</v>
      </c>
      <c r="D26" s="31" t="n">
        <f aca="false">Assumptions!C13</f>
        <v>100</v>
      </c>
      <c r="E26" s="31" t="n">
        <f aca="false">C26+D26</f>
        <v>400</v>
      </c>
    </row>
    <row r="27" customFormat="false" ht="15" hidden="false" customHeight="false" outlineLevel="0" collapsed="false">
      <c r="B27" s="0" t="s">
        <v>47</v>
      </c>
      <c r="C27" s="31" t="n">
        <f aca="false">Assumptions!D12</f>
        <v>880</v>
      </c>
      <c r="D27" s="31" t="n">
        <f aca="false">Assumptions!D13</f>
        <v>720</v>
      </c>
      <c r="E27" s="31" t="n">
        <f aca="false">C27+D27</f>
        <v>1600</v>
      </c>
    </row>
    <row r="28" customFormat="false" ht="15" hidden="false" customHeight="false" outlineLevel="0" collapsed="false">
      <c r="B28" s="0" t="s">
        <v>48</v>
      </c>
      <c r="C28" s="31" t="n">
        <f aca="false">Assumptions!E12</f>
        <v>1680</v>
      </c>
      <c r="D28" s="31" t="n">
        <f aca="false">Assumptions!E13</f>
        <v>2520</v>
      </c>
      <c r="E28" s="31" t="n">
        <f aca="false">C28+D28</f>
        <v>4200</v>
      </c>
    </row>
    <row r="32" customFormat="false" ht="15" hidden="false" customHeight="false" outlineLevel="0" collapsed="false">
      <c r="B32" s="56" t="s">
        <v>207</v>
      </c>
    </row>
    <row r="33" customFormat="false" ht="15" hidden="false" customHeight="false" outlineLevel="0" collapsed="false">
      <c r="B33" s="0" t="s">
        <v>208</v>
      </c>
      <c r="C33" s="38" t="n">
        <f aca="false">MIN(E13,5)</f>
        <v>5</v>
      </c>
    </row>
    <row r="34" customFormat="false" ht="15" hidden="false" customHeight="false" outlineLevel="0" collapsed="false">
      <c r="B34" s="0" t="s">
        <v>209</v>
      </c>
      <c r="C34" s="38" t="n">
        <f aca="false">5-C33</f>
        <v>0</v>
      </c>
    </row>
  </sheetData>
  <mergeCells count="4">
    <mergeCell ref="B1:H1"/>
    <mergeCell ref="B2:H2"/>
    <mergeCell ref="B17:E17"/>
    <mergeCell ref="B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5" min="3" style="0" width="18"/>
    <col collapsed="false" customWidth="true" hidden="false" outlineLevel="0" max="6" min="6" style="0" width="40"/>
  </cols>
  <sheetData>
    <row r="1" customFormat="false" ht="27.75" hidden="false" customHeight="true" outlineLevel="0" collapsed="false">
      <c r="B1" s="12" t="s">
        <v>210</v>
      </c>
      <c r="C1" s="12"/>
      <c r="D1" s="12"/>
      <c r="E1" s="12"/>
      <c r="F1" s="12"/>
    </row>
    <row r="2" customFormat="false" ht="15" hidden="false" customHeight="false" outlineLevel="0" collapsed="false">
      <c r="B2" s="13" t="s">
        <v>211</v>
      </c>
      <c r="C2" s="13"/>
      <c r="D2" s="13"/>
      <c r="E2" s="13"/>
      <c r="F2" s="13"/>
    </row>
    <row r="4" customFormat="false" ht="21.75" hidden="false" customHeight="true" outlineLevel="0" collapsed="false">
      <c r="B4" s="14" t="s">
        <v>65</v>
      </c>
      <c r="C4" s="14" t="s">
        <v>92</v>
      </c>
      <c r="D4" s="14" t="s">
        <v>93</v>
      </c>
      <c r="E4" s="14" t="s">
        <v>94</v>
      </c>
    </row>
    <row r="5" customFormat="false" ht="15" hidden="false" customHeight="false" outlineLevel="0" collapsed="false">
      <c r="B5" s="15" t="s">
        <v>212</v>
      </c>
      <c r="C5" s="31" t="n">
        <f aca="false">'Revenue Projection'!E48*Assumptions!C47</f>
        <v>5040</v>
      </c>
      <c r="D5" s="31" t="n">
        <f aca="false">'Revenue Projection'!E48*Assumptions!C48</f>
        <v>4200</v>
      </c>
      <c r="E5" s="31" t="n">
        <f aca="false">'Revenue Projection'!E48*Assumptions!C49</f>
        <v>3150</v>
      </c>
    </row>
    <row r="6" customFormat="false" ht="15" hidden="false" customHeight="false" outlineLevel="0" collapsed="false">
      <c r="B6" s="40" t="s">
        <v>213</v>
      </c>
      <c r="C6" s="57" t="n">
        <f aca="false">'KPI Dashboard'!E8</f>
        <v>1208.9</v>
      </c>
      <c r="D6" s="57" t="n">
        <f aca="false">'KPI Dashboard'!E8</f>
        <v>1208.9</v>
      </c>
      <c r="E6" s="57" t="n">
        <f aca="false">'KPI Dashboard'!E8</f>
        <v>1208.9</v>
      </c>
    </row>
    <row r="7" customFormat="false" ht="15" hidden="false" customHeight="false" outlineLevel="0" collapsed="false">
      <c r="B7" s="19" t="s">
        <v>214</v>
      </c>
      <c r="C7" s="20" t="n">
        <f aca="false">C5*C6*12</f>
        <v>73114272</v>
      </c>
      <c r="D7" s="20" t="n">
        <f aca="false">D5*D6*12</f>
        <v>60928560</v>
      </c>
      <c r="E7" s="20" t="n">
        <f aca="false">E5*E6*12</f>
        <v>45696420</v>
      </c>
    </row>
    <row r="8" customFormat="false" ht="15" hidden="false" customHeight="false" outlineLevel="0" collapsed="false">
      <c r="B8" s="40" t="s">
        <v>215</v>
      </c>
      <c r="C8" s="43" t="n">
        <f aca="false">'Profit &amp; Loss Statement'!E8</f>
        <v>0.933632445580383</v>
      </c>
      <c r="D8" s="43" t="n">
        <f aca="false">'Profit &amp; Loss Statement'!E8</f>
        <v>0.933632445580383</v>
      </c>
      <c r="E8" s="43" t="n">
        <f aca="false">'Profit &amp; Loss Statement'!E8</f>
        <v>0.933632445580383</v>
      </c>
    </row>
    <row r="9" customFormat="false" ht="15" hidden="false" customHeight="false" outlineLevel="0" collapsed="false">
      <c r="B9" s="15" t="s">
        <v>216</v>
      </c>
      <c r="C9" s="24" t="n">
        <f aca="false">Assumptions!E26</f>
        <v>27300000</v>
      </c>
      <c r="D9" s="24" t="n">
        <f aca="false">Assumptions!E26</f>
        <v>27300000</v>
      </c>
      <c r="E9" s="24" t="n">
        <f aca="false">Assumptions!E26</f>
        <v>27300000</v>
      </c>
    </row>
    <row r="10" customFormat="false" ht="15" hidden="false" customHeight="false" outlineLevel="0" collapsed="false">
      <c r="B10" s="44" t="s">
        <v>217</v>
      </c>
      <c r="C10" s="37" t="n">
        <f aca="false">C7*C8-C9</f>
        <v>40961856.5741893</v>
      </c>
      <c r="D10" s="37" t="n">
        <f aca="false">D7*D8-D9</f>
        <v>29584880.4784911</v>
      </c>
      <c r="E10" s="37" t="n">
        <f aca="false">E7*E8-E9</f>
        <v>15363660.3588683</v>
      </c>
    </row>
    <row r="11" customFormat="false" ht="15" hidden="false" customHeight="false" outlineLevel="0" collapsed="false">
      <c r="B11" s="15" t="s">
        <v>218</v>
      </c>
      <c r="C11" s="46" t="n">
        <f aca="false">C10/C7</f>
        <v>0.560244333338768</v>
      </c>
      <c r="D11" s="46" t="n">
        <f aca="false">D10/D7</f>
        <v>0.485566710890445</v>
      </c>
      <c r="E11" s="46" t="n">
        <f aca="false">E10/E7</f>
        <v>0.336211465993799</v>
      </c>
    </row>
    <row r="14" customFormat="false" ht="15" hidden="false" customHeight="true" outlineLevel="0" collapsed="false">
      <c r="B14" s="27" t="s">
        <v>219</v>
      </c>
      <c r="C14" s="27"/>
      <c r="D14" s="27"/>
      <c r="E14" s="27"/>
      <c r="F14" s="27"/>
    </row>
    <row r="15" customFormat="false" ht="15" hidden="false" customHeight="false" outlineLevel="0" collapsed="false">
      <c r="B15" s="27"/>
      <c r="C15" s="27"/>
      <c r="D15" s="27"/>
      <c r="E15" s="27"/>
      <c r="F15" s="27"/>
    </row>
    <row r="16" customFormat="false" ht="15" hidden="false" customHeight="false" outlineLevel="0" collapsed="false">
      <c r="B16" s="27"/>
      <c r="C16" s="27"/>
      <c r="D16" s="27"/>
      <c r="E16" s="27"/>
      <c r="F16" s="27"/>
    </row>
    <row r="19" customFormat="false" ht="15" hidden="false" customHeight="false" outlineLevel="0" collapsed="false">
      <c r="B19" s="19" t="s">
        <v>90</v>
      </c>
      <c r="C19" s="19" t="s">
        <v>154</v>
      </c>
      <c r="D19" s="19" t="s">
        <v>220</v>
      </c>
    </row>
    <row r="20" customFormat="false" ht="15" hidden="false" customHeight="false" outlineLevel="0" collapsed="false">
      <c r="B20" s="0" t="s">
        <v>92</v>
      </c>
      <c r="C20" s="24" t="n">
        <f aca="false">C7</f>
        <v>73114272</v>
      </c>
      <c r="D20" s="24" t="n">
        <f aca="false">C10</f>
        <v>40961856.5741893</v>
      </c>
    </row>
    <row r="21" customFormat="false" ht="15" hidden="false" customHeight="false" outlineLevel="0" collapsed="false">
      <c r="B21" s="0" t="s">
        <v>93</v>
      </c>
      <c r="C21" s="24" t="n">
        <f aca="false">D7</f>
        <v>60928560</v>
      </c>
      <c r="D21" s="24" t="n">
        <f aca="false">D10</f>
        <v>29584880.4784911</v>
      </c>
    </row>
    <row r="22" customFormat="false" ht="15" hidden="false" customHeight="false" outlineLevel="0" collapsed="false">
      <c r="B22" s="0" t="s">
        <v>94</v>
      </c>
      <c r="C22" s="24" t="n">
        <f aca="false">E7</f>
        <v>45696420</v>
      </c>
      <c r="D22" s="24" t="n">
        <f aca="false">E10</f>
        <v>15363660.3588683</v>
      </c>
    </row>
  </sheetData>
  <mergeCells count="3">
    <mergeCell ref="B1:F1"/>
    <mergeCell ref="B2:F2"/>
    <mergeCell ref="B14: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6FFF"/>
    <pageSetUpPr fitToPage="false"/>
  </sheetPr>
  <dimension ref="B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4" min="3" style="0" width="20"/>
    <col collapsed="false" customWidth="true" hidden="false" outlineLevel="0" max="5" min="5" style="0" width="40"/>
  </cols>
  <sheetData>
    <row r="1" customFormat="false" ht="27.75" hidden="false" customHeight="true" outlineLevel="0" collapsed="false">
      <c r="B1" s="12" t="s">
        <v>221</v>
      </c>
      <c r="C1" s="12"/>
      <c r="D1" s="12"/>
      <c r="E1" s="12"/>
    </row>
    <row r="2" customFormat="false" ht="15" hidden="false" customHeight="false" outlineLevel="0" collapsed="false">
      <c r="B2" s="13" t="s">
        <v>222</v>
      </c>
      <c r="C2" s="13"/>
      <c r="D2" s="13"/>
      <c r="E2" s="13"/>
    </row>
    <row r="4" customFormat="false" ht="19.5" hidden="false" customHeight="true" outlineLevel="0" collapsed="false">
      <c r="B4" s="6" t="s">
        <v>223</v>
      </c>
      <c r="C4" s="6"/>
      <c r="D4" s="6"/>
      <c r="E4" s="6"/>
    </row>
    <row r="5" customFormat="false" ht="15" hidden="false" customHeight="false" outlineLevel="0" collapsed="false">
      <c r="B5" s="19" t="s">
        <v>224</v>
      </c>
      <c r="C5" s="37" t="n">
        <f aca="false">'Startup Cost Estimation'!C14</f>
        <v>5940000</v>
      </c>
      <c r="E5" s="17" t="s">
        <v>225</v>
      </c>
    </row>
    <row r="7" customFormat="false" ht="19.5" hidden="false" customHeight="true" outlineLevel="0" collapsed="false">
      <c r="B7" s="6" t="s">
        <v>226</v>
      </c>
      <c r="C7" s="6"/>
      <c r="D7" s="6"/>
      <c r="E7" s="6"/>
    </row>
    <row r="8" customFormat="false" ht="15" hidden="false" customHeight="false" outlineLevel="0" collapsed="false">
      <c r="B8" s="19" t="s">
        <v>227</v>
      </c>
      <c r="C8" s="19" t="s">
        <v>199</v>
      </c>
      <c r="D8" s="19" t="s">
        <v>228</v>
      </c>
    </row>
    <row r="9" customFormat="false" ht="15" hidden="false" customHeight="false" outlineLevel="0" collapsed="false">
      <c r="B9" s="58" t="str">
        <f aca="false">'Startup Cost Estimation'!B5</f>
        <v>Product development (platform, mobile app, initial AI models)</v>
      </c>
      <c r="C9" s="24" t="n">
        <f aca="false">'Startup Cost Estimation'!C5</f>
        <v>2500000</v>
      </c>
      <c r="D9" s="46" t="n">
        <f aca="false">C9/$C$5</f>
        <v>0.420875420875421</v>
      </c>
    </row>
    <row r="10" customFormat="false" ht="15" hidden="false" customHeight="false" outlineLevel="0" collapsed="false">
      <c r="B10" s="58" t="str">
        <f aca="false">'Startup Cost Estimation'!B6</f>
        <v>Cloud infrastructure setup</v>
      </c>
      <c r="C10" s="24" t="n">
        <f aca="false">'Startup Cost Estimation'!C6</f>
        <v>400000</v>
      </c>
      <c r="D10" s="46" t="n">
        <f aca="false">C10/$C$5</f>
        <v>0.0673400673400673</v>
      </c>
    </row>
    <row r="11" customFormat="false" ht="15" hidden="false" customHeight="false" outlineLevel="0" collapsed="false">
      <c r="B11" s="58" t="str">
        <f aca="false">'Startup Cost Estimation'!B7</f>
        <v>Branding, website &amp; marketing collateral</v>
      </c>
      <c r="C11" s="24" t="n">
        <f aca="false">'Startup Cost Estimation'!C7</f>
        <v>300000</v>
      </c>
      <c r="D11" s="46" t="n">
        <f aca="false">C11/$C$5</f>
        <v>0.0505050505050505</v>
      </c>
    </row>
    <row r="12" customFormat="false" ht="15" hidden="false" customHeight="false" outlineLevel="0" collapsed="false">
      <c r="B12" s="58" t="str">
        <f aca="false">'Startup Cost Estimation'!B8</f>
        <v>Legal, compliance &amp; incorporation</v>
      </c>
      <c r="C12" s="24" t="n">
        <f aca="false">'Startup Cost Estimation'!C8</f>
        <v>200000</v>
      </c>
      <c r="D12" s="46" t="n">
        <f aca="false">C12/$C$5</f>
        <v>0.0336700336700337</v>
      </c>
    </row>
    <row r="13" customFormat="false" ht="15" hidden="false" customHeight="false" outlineLevel="0" collapsed="false">
      <c r="B13" s="58" t="str">
        <f aca="false">'Startup Cost Estimation'!B9</f>
        <v>Founding team runway (approx. 6 months)</v>
      </c>
      <c r="C13" s="24" t="n">
        <f aca="false">'Startup Cost Estimation'!C9</f>
        <v>1500000</v>
      </c>
      <c r="D13" s="46" t="n">
        <f aca="false">C13/$C$5</f>
        <v>0.252525252525253</v>
      </c>
    </row>
    <row r="14" customFormat="false" ht="15" hidden="false" customHeight="false" outlineLevel="0" collapsed="false">
      <c r="B14" s="58" t="str">
        <f aca="false">'Startup Cost Estimation'!B10</f>
        <v>Initial marketing launch budget</v>
      </c>
      <c r="C14" s="24" t="n">
        <f aca="false">'Startup Cost Estimation'!C10</f>
        <v>500000</v>
      </c>
      <c r="D14" s="46" t="n">
        <f aca="false">C14/$C$5</f>
        <v>0.0841750841750842</v>
      </c>
    </row>
    <row r="17" customFormat="false" ht="19.5" hidden="false" customHeight="true" outlineLevel="0" collapsed="false">
      <c r="B17" s="6" t="s">
        <v>229</v>
      </c>
      <c r="C17" s="6"/>
      <c r="D17" s="6"/>
      <c r="E17" s="6"/>
    </row>
    <row r="18" customFormat="false" ht="15" hidden="false" customHeight="false" outlineLevel="0" collapsed="false">
      <c r="B18" s="15" t="s">
        <v>230</v>
      </c>
      <c r="C18" s="32" t="n">
        <f aca="false">'Profit &amp; Loss Statement'!E16</f>
        <v>14889290</v>
      </c>
    </row>
    <row r="19" customFormat="false" ht="15" hidden="false" customHeight="false" outlineLevel="0" collapsed="false">
      <c r="B19" s="15" t="s">
        <v>231</v>
      </c>
      <c r="C19" s="38" t="n">
        <f aca="false">C18/C5</f>
        <v>2.50661447811448</v>
      </c>
    </row>
    <row r="20" customFormat="false" ht="15" hidden="false" customHeight="false" outlineLevel="0" collapsed="false">
      <c r="B20" s="15" t="s">
        <v>232</v>
      </c>
      <c r="C20" s="32" t="n">
        <f aca="false">'Profit &amp; Loss Statement'!C21/(1+Assumptions!$C$40)^1+'Profit &amp; Loss Statement'!D21/(1+Assumptions!$C$40)^2+'Profit &amp; Loss Statement'!E21/(1+Assumptions!$C$40)^3</f>
        <v>-3476907.41263712</v>
      </c>
      <c r="E20" s="17" t="s">
        <v>233</v>
      </c>
    </row>
    <row r="21" customFormat="false" ht="15" hidden="false" customHeight="false" outlineLevel="0" collapsed="false">
      <c r="B21" s="15" t="s">
        <v>234</v>
      </c>
      <c r="C21" s="32" t="n">
        <f aca="false">'Revenue Projection'!E46*(1+Assumptions!$C$43)</f>
        <v>59065006</v>
      </c>
      <c r="E21" s="17" t="s">
        <v>235</v>
      </c>
    </row>
    <row r="23" customFormat="false" ht="19.5" hidden="false" customHeight="true" outlineLevel="0" collapsed="false">
      <c r="B23" s="6" t="s">
        <v>236</v>
      </c>
      <c r="C23" s="6"/>
      <c r="D23" s="6"/>
      <c r="E23" s="6"/>
    </row>
    <row r="24" customFormat="false" ht="15" hidden="false" customHeight="false" outlineLevel="0" collapsed="false">
      <c r="B24" s="19" t="s">
        <v>65</v>
      </c>
      <c r="C24" s="19" t="s">
        <v>46</v>
      </c>
      <c r="D24" s="19" t="s">
        <v>48</v>
      </c>
    </row>
    <row r="25" customFormat="false" ht="15" hidden="false" customHeight="false" outlineLevel="0" collapsed="false">
      <c r="B25" s="15" t="s">
        <v>237</v>
      </c>
      <c r="C25" s="31" t="n">
        <f aca="false">'KPI Dashboard'!C7</f>
        <v>400</v>
      </c>
      <c r="D25" s="31" t="n">
        <f aca="false">'KPI Dashboard'!E7</f>
        <v>4200</v>
      </c>
    </row>
    <row r="26" customFormat="false" ht="15" hidden="false" customHeight="false" outlineLevel="0" collapsed="false">
      <c r="B26" s="15" t="s">
        <v>238</v>
      </c>
      <c r="C26" s="24" t="n">
        <f aca="false">'KPI Dashboard'!C6</f>
        <v>3595200</v>
      </c>
      <c r="D26" s="24" t="n">
        <f aca="false">'KPI Dashboard'!E6</f>
        <v>60928560</v>
      </c>
    </row>
    <row r="27" customFormat="false" ht="15" hidden="false" customHeight="false" outlineLevel="0" collapsed="false">
      <c r="B27" s="15" t="s">
        <v>141</v>
      </c>
      <c r="C27" s="46" t="n">
        <f aca="false">'KPI Dashboard'!C9</f>
        <v>0.69189688815857</v>
      </c>
      <c r="D27" s="46" t="n">
        <f aca="false">'KPI Dashboard'!E9</f>
        <v>0.933632445580383</v>
      </c>
    </row>
    <row r="28" customFormat="false" ht="15" hidden="false" customHeight="false" outlineLevel="0" collapsed="false">
      <c r="B28" s="15" t="s">
        <v>194</v>
      </c>
      <c r="C28" s="38" t="n">
        <f aca="false">'KPI Dashboard'!C13</f>
        <v>10.625</v>
      </c>
      <c r="D28" s="38" t="n">
        <f aca="false">'KPI Dashboard'!E13</f>
        <v>18.4166666666667</v>
      </c>
    </row>
    <row r="30" customFormat="false" ht="15" hidden="false" customHeight="false" outlineLevel="0" collapsed="false">
      <c r="B30" s="19" t="s">
        <v>239</v>
      </c>
      <c r="C30" s="59" t="n">
        <f aca="false">'Revenue Projection'!E49</f>
        <v>21.6644192256342</v>
      </c>
      <c r="E30" s="17" t="s">
        <v>240</v>
      </c>
    </row>
    <row r="33" customFormat="false" ht="19.5" hidden="false" customHeight="true" outlineLevel="0" collapsed="false">
      <c r="B33" s="6" t="s">
        <v>241</v>
      </c>
      <c r="C33" s="6"/>
      <c r="D33" s="6"/>
      <c r="E33" s="6"/>
    </row>
    <row r="34" customFormat="false" ht="27.75" hidden="false" customHeight="true" outlineLevel="0" collapsed="false">
      <c r="B34" s="60" t="s">
        <v>242</v>
      </c>
      <c r="C34" s="60"/>
      <c r="D34" s="60"/>
      <c r="E34" s="60"/>
    </row>
    <row r="35" customFormat="false" ht="27.75" hidden="false" customHeight="true" outlineLevel="0" collapsed="false">
      <c r="B35" s="60" t="s">
        <v>243</v>
      </c>
      <c r="C35" s="60"/>
      <c r="D35" s="60"/>
      <c r="E35" s="60"/>
    </row>
    <row r="36" customFormat="false" ht="27.75" hidden="false" customHeight="true" outlineLevel="0" collapsed="false">
      <c r="B36" s="60" t="s">
        <v>244</v>
      </c>
      <c r="C36" s="60"/>
      <c r="D36" s="60"/>
      <c r="E36" s="60"/>
    </row>
    <row r="37" customFormat="false" ht="27.75" hidden="false" customHeight="true" outlineLevel="0" collapsed="false">
      <c r="B37" s="60" t="s">
        <v>245</v>
      </c>
      <c r="C37" s="60"/>
      <c r="D37" s="60"/>
      <c r="E37" s="60"/>
    </row>
    <row r="39" customFormat="false" ht="15" hidden="false" customHeight="true" outlineLevel="0" collapsed="false">
      <c r="B39" s="27" t="s">
        <v>246</v>
      </c>
      <c r="C39" s="27"/>
      <c r="D39" s="27"/>
      <c r="E39" s="27"/>
    </row>
    <row r="40" customFormat="false" ht="15" hidden="false" customHeight="false" outlineLevel="0" collapsed="false">
      <c r="B40" s="27"/>
      <c r="C40" s="27"/>
      <c r="D40" s="27"/>
      <c r="E40" s="27"/>
    </row>
    <row r="41" customFormat="false" ht="15" hidden="false" customHeight="false" outlineLevel="0" collapsed="false">
      <c r="B41" s="27"/>
      <c r="C41" s="27"/>
      <c r="D41" s="27"/>
      <c r="E41" s="27"/>
    </row>
  </sheetData>
  <mergeCells count="12">
    <mergeCell ref="B1:E1"/>
    <mergeCell ref="B2:E2"/>
    <mergeCell ref="B4:E4"/>
    <mergeCell ref="B7:E7"/>
    <mergeCell ref="B17:E17"/>
    <mergeCell ref="B23:E23"/>
    <mergeCell ref="B33:E33"/>
    <mergeCell ref="B34:E34"/>
    <mergeCell ref="B35:E35"/>
    <mergeCell ref="B36:E36"/>
    <mergeCell ref="B37:E37"/>
    <mergeCell ref="B39: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2026-07-05T11:15:36Z</dcterms:created>
  <dc:creator>openpyxl</dc:creator>
  <dc:description/>
  <dc:language>en-US</dc:language>
  <cp:lastModifiedBy/>
  <dcterms:modified xsi:type="dcterms:W3CDTF">2026-07-05T11:15:38Z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